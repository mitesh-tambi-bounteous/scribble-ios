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0" documentId="8_{E6DE3999-DAB8-48A3-993B-E91F949B2208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README" sheetId="1" r:id="rId1"/>
    <sheet name="Summary" sheetId="2" r:id="rId2"/>
    <sheet name="Assumptions" sheetId="3" r:id="rId3"/>
    <sheet name="Drivers" sheetId="4" r:id="rId4"/>
    <sheet name="Costs" sheetId="5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F46" i="5" l="1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N45" i="5"/>
  <c r="M45" i="5"/>
  <c r="L45" i="5"/>
  <c r="K45" i="5"/>
  <c r="J45" i="5"/>
  <c r="I45" i="5"/>
  <c r="H45" i="5"/>
  <c r="G45" i="5"/>
  <c r="F45" i="5"/>
  <c r="E45" i="5"/>
  <c r="D45" i="5"/>
  <c r="C45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N42" i="5"/>
  <c r="M42" i="5"/>
  <c r="L42" i="5"/>
  <c r="K42" i="5"/>
  <c r="J42" i="5"/>
  <c r="I42" i="5"/>
  <c r="H42" i="5"/>
  <c r="G42" i="5"/>
  <c r="F42" i="5"/>
  <c r="E42" i="5"/>
  <c r="D42" i="5"/>
  <c r="C42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N47" i="5" s="1"/>
  <c r="M41" i="5"/>
  <c r="M47" i="5" s="1"/>
  <c r="L41" i="5"/>
  <c r="L47" i="5" s="1"/>
  <c r="K41" i="5"/>
  <c r="K47" i="5" s="1"/>
  <c r="J41" i="5"/>
  <c r="J47" i="5" s="1"/>
  <c r="I41" i="5"/>
  <c r="I47" i="5" s="1"/>
  <c r="H41" i="5"/>
  <c r="H47" i="5" s="1"/>
  <c r="G41" i="5"/>
  <c r="G47" i="5" s="1"/>
  <c r="F41" i="5"/>
  <c r="F47" i="5" s="1"/>
  <c r="E41" i="5"/>
  <c r="E47" i="5" s="1"/>
  <c r="D41" i="5"/>
  <c r="D47" i="5" s="1"/>
  <c r="C41" i="5"/>
  <c r="C47" i="5" s="1"/>
  <c r="AF38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AF21" i="4"/>
  <c r="AF24" i="4" s="1"/>
  <c r="AE21" i="4"/>
  <c r="AE24" i="4" s="1"/>
  <c r="AD21" i="4"/>
  <c r="AD24" i="4" s="1"/>
  <c r="AC21" i="4"/>
  <c r="AC24" i="4" s="1"/>
  <c r="AB21" i="4"/>
  <c r="AB24" i="4" s="1"/>
  <c r="AA21" i="4"/>
  <c r="AA24" i="4" s="1"/>
  <c r="Z21" i="4"/>
  <c r="Z24" i="4" s="1"/>
  <c r="Y21" i="4"/>
  <c r="Y24" i="4" s="1"/>
  <c r="X21" i="4"/>
  <c r="X24" i="4" s="1"/>
  <c r="W21" i="4"/>
  <c r="W24" i="4" s="1"/>
  <c r="V21" i="4"/>
  <c r="V24" i="4" s="1"/>
  <c r="U21" i="4"/>
  <c r="U24" i="4" s="1"/>
  <c r="T21" i="4"/>
  <c r="T24" i="4" s="1"/>
  <c r="S21" i="4"/>
  <c r="S24" i="4" s="1"/>
  <c r="R21" i="4"/>
  <c r="R24" i="4" s="1"/>
  <c r="Q21" i="4"/>
  <c r="Q24" i="4" s="1"/>
  <c r="P21" i="4"/>
  <c r="P24" i="4" s="1"/>
  <c r="O21" i="4"/>
  <c r="O24" i="4" s="1"/>
  <c r="N21" i="4"/>
  <c r="N24" i="4" s="1"/>
  <c r="M21" i="4"/>
  <c r="M24" i="4" s="1"/>
  <c r="L21" i="4"/>
  <c r="L24" i="4" s="1"/>
  <c r="K21" i="4"/>
  <c r="K24" i="4" s="1"/>
  <c r="J21" i="4"/>
  <c r="J24" i="4" s="1"/>
  <c r="I21" i="4"/>
  <c r="I24" i="4" s="1"/>
  <c r="H21" i="4"/>
  <c r="H24" i="4" s="1"/>
  <c r="G21" i="4"/>
  <c r="G24" i="4" s="1"/>
  <c r="F21" i="4"/>
  <c r="F24" i="4" s="1"/>
  <c r="E21" i="4"/>
  <c r="E24" i="4" s="1"/>
  <c r="D21" i="4"/>
  <c r="D24" i="4" s="1"/>
  <c r="C21" i="4"/>
  <c r="C24" i="4" s="1"/>
  <c r="AF20" i="4"/>
  <c r="AF45" i="5" s="1"/>
  <c r="AE20" i="4"/>
  <c r="AE45" i="5" s="1"/>
  <c r="AD20" i="4"/>
  <c r="AD45" i="5" s="1"/>
  <c r="AC20" i="4"/>
  <c r="AC45" i="5" s="1"/>
  <c r="AB20" i="4"/>
  <c r="AB45" i="5" s="1"/>
  <c r="AA20" i="4"/>
  <c r="AA45" i="5" s="1"/>
  <c r="Z20" i="4"/>
  <c r="Z45" i="5" s="1"/>
  <c r="Y20" i="4"/>
  <c r="Y45" i="5" s="1"/>
  <c r="X20" i="4"/>
  <c r="X45" i="5" s="1"/>
  <c r="W20" i="4"/>
  <c r="W45" i="5" s="1"/>
  <c r="V20" i="4"/>
  <c r="V45" i="5" s="1"/>
  <c r="U20" i="4"/>
  <c r="U45" i="5" s="1"/>
  <c r="T20" i="4"/>
  <c r="T45" i="5" s="1"/>
  <c r="S20" i="4"/>
  <c r="S45" i="5" s="1"/>
  <c r="R20" i="4"/>
  <c r="R45" i="5" s="1"/>
  <c r="Q20" i="4"/>
  <c r="Q45" i="5" s="1"/>
  <c r="P20" i="4"/>
  <c r="P45" i="5" s="1"/>
  <c r="O20" i="4"/>
  <c r="O45" i="5" s="1"/>
  <c r="N20" i="4"/>
  <c r="M20" i="4"/>
  <c r="L20" i="4"/>
  <c r="K20" i="4"/>
  <c r="J20" i="4"/>
  <c r="I20" i="4"/>
  <c r="H20" i="4"/>
  <c r="G20" i="4"/>
  <c r="F20" i="4"/>
  <c r="E20" i="4"/>
  <c r="D20" i="4"/>
  <c r="C20" i="4"/>
  <c r="AF9" i="4"/>
  <c r="AF13" i="5" s="1"/>
  <c r="AE9" i="4"/>
  <c r="AE13" i="5" s="1"/>
  <c r="AD9" i="4"/>
  <c r="AD13" i="5" s="1"/>
  <c r="AC9" i="4"/>
  <c r="AC13" i="5" s="1"/>
  <c r="AB9" i="4"/>
  <c r="AB13" i="5" s="1"/>
  <c r="AA9" i="4"/>
  <c r="AA13" i="5" s="1"/>
  <c r="Z9" i="4"/>
  <c r="Z13" i="5" s="1"/>
  <c r="Y9" i="4"/>
  <c r="Y13" i="5" s="1"/>
  <c r="X9" i="4"/>
  <c r="X13" i="5" s="1"/>
  <c r="W9" i="4"/>
  <c r="W13" i="5" s="1"/>
  <c r="V9" i="4"/>
  <c r="V13" i="5" s="1"/>
  <c r="U9" i="4"/>
  <c r="U13" i="5" s="1"/>
  <c r="T9" i="4"/>
  <c r="T13" i="5" s="1"/>
  <c r="S9" i="4"/>
  <c r="S13" i="5" s="1"/>
  <c r="R9" i="4"/>
  <c r="R13" i="5" s="1"/>
  <c r="Q9" i="4"/>
  <c r="Q13" i="5" s="1"/>
  <c r="P9" i="4"/>
  <c r="P13" i="5" s="1"/>
  <c r="O9" i="4"/>
  <c r="O13" i="5" s="1"/>
  <c r="N9" i="4"/>
  <c r="N13" i="5" s="1"/>
  <c r="M9" i="4"/>
  <c r="M13" i="5" s="1"/>
  <c r="L9" i="4"/>
  <c r="L13" i="5" s="1"/>
  <c r="K9" i="4"/>
  <c r="K13" i="5" s="1"/>
  <c r="J9" i="4"/>
  <c r="J13" i="5" s="1"/>
  <c r="I9" i="4"/>
  <c r="I13" i="5" s="1"/>
  <c r="H9" i="4"/>
  <c r="H13" i="5" s="1"/>
  <c r="G9" i="4"/>
  <c r="G13" i="5" s="1"/>
  <c r="F9" i="4"/>
  <c r="F13" i="5" s="1"/>
  <c r="E9" i="4"/>
  <c r="E13" i="5" s="1"/>
  <c r="D9" i="4"/>
  <c r="D13" i="5" s="1"/>
  <c r="C9" i="4"/>
  <c r="C13" i="5" s="1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F18" i="2"/>
  <c r="E18" i="2"/>
  <c r="D18" i="2"/>
  <c r="C18" i="2"/>
  <c r="C11" i="2"/>
  <c r="C28" i="5" l="1"/>
  <c r="C23" i="5"/>
  <c r="C7" i="5"/>
  <c r="C18" i="4"/>
  <c r="C17" i="4"/>
  <c r="C20" i="5" s="1"/>
  <c r="C10" i="4"/>
  <c r="C11" i="4" s="1"/>
  <c r="D28" i="5"/>
  <c r="D23" i="5"/>
  <c r="D7" i="5"/>
  <c r="D18" i="4"/>
  <c r="D17" i="4"/>
  <c r="D20" i="5" s="1"/>
  <c r="D10" i="4"/>
  <c r="D11" i="4" s="1"/>
  <c r="E28" i="5"/>
  <c r="E23" i="5"/>
  <c r="E7" i="5"/>
  <c r="E18" i="4"/>
  <c r="E17" i="4"/>
  <c r="E20" i="5" s="1"/>
  <c r="E10" i="4"/>
  <c r="E11" i="4" s="1"/>
  <c r="F28" i="5"/>
  <c r="F23" i="5"/>
  <c r="F7" i="5"/>
  <c r="F18" i="4"/>
  <c r="F17" i="4"/>
  <c r="F20" i="5" s="1"/>
  <c r="F10" i="4"/>
  <c r="F11" i="4" s="1"/>
  <c r="G28" i="5"/>
  <c r="G23" i="5"/>
  <c r="G7" i="5"/>
  <c r="G18" i="4"/>
  <c r="G17" i="4"/>
  <c r="G20" i="5" s="1"/>
  <c r="G10" i="4"/>
  <c r="G11" i="4" s="1"/>
  <c r="H28" i="5"/>
  <c r="H23" i="5"/>
  <c r="H7" i="5"/>
  <c r="H18" i="4"/>
  <c r="H17" i="4"/>
  <c r="H20" i="5" s="1"/>
  <c r="H10" i="4"/>
  <c r="H11" i="4" s="1"/>
  <c r="I28" i="5"/>
  <c r="I23" i="5"/>
  <c r="I7" i="5"/>
  <c r="I18" i="4"/>
  <c r="I17" i="4"/>
  <c r="I20" i="5" s="1"/>
  <c r="I10" i="4"/>
  <c r="I11" i="4" s="1"/>
  <c r="J28" i="5"/>
  <c r="J23" i="5"/>
  <c r="J7" i="5"/>
  <c r="J18" i="4"/>
  <c r="J17" i="4"/>
  <c r="J20" i="5" s="1"/>
  <c r="J10" i="4"/>
  <c r="J11" i="4" s="1"/>
  <c r="K28" i="5"/>
  <c r="K23" i="5"/>
  <c r="K7" i="5"/>
  <c r="K18" i="4"/>
  <c r="K17" i="4"/>
  <c r="K20" i="5" s="1"/>
  <c r="K10" i="4"/>
  <c r="K11" i="4" s="1"/>
  <c r="L28" i="5"/>
  <c r="L23" i="5"/>
  <c r="L7" i="5"/>
  <c r="L18" i="4"/>
  <c r="L17" i="4"/>
  <c r="L20" i="5" s="1"/>
  <c r="L10" i="4"/>
  <c r="L11" i="4" s="1"/>
  <c r="M28" i="5"/>
  <c r="M23" i="5"/>
  <c r="M7" i="5"/>
  <c r="M18" i="4"/>
  <c r="M17" i="4"/>
  <c r="M20" i="5" s="1"/>
  <c r="M10" i="4"/>
  <c r="M11" i="4" s="1"/>
  <c r="N28" i="5"/>
  <c r="N23" i="5"/>
  <c r="N7" i="5"/>
  <c r="N18" i="4"/>
  <c r="N17" i="4"/>
  <c r="N20" i="5" s="1"/>
  <c r="N10" i="4"/>
  <c r="N11" i="4" s="1"/>
  <c r="O28" i="5"/>
  <c r="O23" i="5"/>
  <c r="O7" i="5"/>
  <c r="O18" i="4"/>
  <c r="O17" i="4"/>
  <c r="O20" i="5" s="1"/>
  <c r="O10" i="4"/>
  <c r="O11" i="4" s="1"/>
  <c r="P28" i="5"/>
  <c r="P23" i="5"/>
  <c r="P7" i="5"/>
  <c r="P18" i="4"/>
  <c r="P17" i="4"/>
  <c r="P20" i="5" s="1"/>
  <c r="P10" i="4"/>
  <c r="P11" i="4" s="1"/>
  <c r="Q28" i="5"/>
  <c r="Q23" i="5"/>
  <c r="Q7" i="5"/>
  <c r="Q18" i="4"/>
  <c r="Q17" i="4"/>
  <c r="Q20" i="5" s="1"/>
  <c r="Q10" i="4"/>
  <c r="Q11" i="4" s="1"/>
  <c r="R28" i="5"/>
  <c r="R23" i="5"/>
  <c r="R7" i="5"/>
  <c r="R18" i="4"/>
  <c r="R17" i="4"/>
  <c r="R20" i="5" s="1"/>
  <c r="R10" i="4"/>
  <c r="R11" i="4" s="1"/>
  <c r="S28" i="5"/>
  <c r="S23" i="5"/>
  <c r="S7" i="5"/>
  <c r="S18" i="4"/>
  <c r="S17" i="4"/>
  <c r="S20" i="5" s="1"/>
  <c r="S10" i="4"/>
  <c r="S11" i="4" s="1"/>
  <c r="T28" i="5"/>
  <c r="T23" i="5"/>
  <c r="T7" i="5"/>
  <c r="T18" i="4"/>
  <c r="T17" i="4"/>
  <c r="T20" i="5" s="1"/>
  <c r="T10" i="4"/>
  <c r="T11" i="4" s="1"/>
  <c r="U28" i="5"/>
  <c r="U23" i="5"/>
  <c r="U7" i="5"/>
  <c r="U18" i="4"/>
  <c r="U17" i="4"/>
  <c r="U20" i="5" s="1"/>
  <c r="U10" i="4"/>
  <c r="U11" i="4" s="1"/>
  <c r="V28" i="5"/>
  <c r="V23" i="5"/>
  <c r="V7" i="5"/>
  <c r="V18" i="4"/>
  <c r="V17" i="4"/>
  <c r="V20" i="5" s="1"/>
  <c r="V10" i="4"/>
  <c r="V11" i="4" s="1"/>
  <c r="W28" i="5"/>
  <c r="W23" i="5"/>
  <c r="W7" i="5"/>
  <c r="W18" i="4"/>
  <c r="W17" i="4"/>
  <c r="W20" i="5" s="1"/>
  <c r="W10" i="4"/>
  <c r="W11" i="4" s="1"/>
  <c r="X28" i="5"/>
  <c r="X23" i="5"/>
  <c r="X7" i="5"/>
  <c r="X18" i="4"/>
  <c r="X17" i="4"/>
  <c r="X20" i="5" s="1"/>
  <c r="X10" i="4"/>
  <c r="X11" i="4" s="1"/>
  <c r="Y28" i="5"/>
  <c r="Y23" i="5"/>
  <c r="Y7" i="5"/>
  <c r="Y18" i="4"/>
  <c r="Y17" i="4"/>
  <c r="Y20" i="5" s="1"/>
  <c r="Y10" i="4"/>
  <c r="Y11" i="4" s="1"/>
  <c r="Z28" i="5"/>
  <c r="Z23" i="5"/>
  <c r="Z7" i="5"/>
  <c r="Z18" i="4"/>
  <c r="Z17" i="4"/>
  <c r="Z20" i="5" s="1"/>
  <c r="Z10" i="4"/>
  <c r="Z11" i="4" s="1"/>
  <c r="AA28" i="5"/>
  <c r="AA23" i="5"/>
  <c r="AA7" i="5"/>
  <c r="AA18" i="4"/>
  <c r="AA17" i="4"/>
  <c r="AA20" i="5" s="1"/>
  <c r="AA10" i="4"/>
  <c r="AA11" i="4" s="1"/>
  <c r="AB28" i="5"/>
  <c r="AB23" i="5"/>
  <c r="AB7" i="5"/>
  <c r="AB18" i="4"/>
  <c r="AB17" i="4"/>
  <c r="AB20" i="5" s="1"/>
  <c r="AB10" i="4"/>
  <c r="AB11" i="4" s="1"/>
  <c r="AC28" i="5"/>
  <c r="AC23" i="5"/>
  <c r="AC7" i="5"/>
  <c r="AC18" i="4"/>
  <c r="AC17" i="4"/>
  <c r="AC20" i="5" s="1"/>
  <c r="AC10" i="4"/>
  <c r="AC11" i="4" s="1"/>
  <c r="AD28" i="5"/>
  <c r="AD23" i="5"/>
  <c r="AD7" i="5"/>
  <c r="AD18" i="4"/>
  <c r="AD17" i="4"/>
  <c r="AD20" i="5" s="1"/>
  <c r="AD10" i="4"/>
  <c r="AD11" i="4" s="1"/>
  <c r="AE28" i="5"/>
  <c r="AE23" i="5"/>
  <c r="AE7" i="5"/>
  <c r="AE18" i="4"/>
  <c r="AE17" i="4"/>
  <c r="AE20" i="5" s="1"/>
  <c r="AE10" i="4"/>
  <c r="AE11" i="4" s="1"/>
  <c r="AF28" i="5"/>
  <c r="AF23" i="5"/>
  <c r="AF7" i="5"/>
  <c r="AF18" i="4"/>
  <c r="AF17" i="4"/>
  <c r="AF20" i="5" s="1"/>
  <c r="AF10" i="4"/>
  <c r="AF11" i="4" s="1"/>
  <c r="C18" i="5"/>
  <c r="C17" i="5"/>
  <c r="C14" i="5"/>
  <c r="C15" i="5" s="1"/>
  <c r="C6" i="5"/>
  <c r="D18" i="5"/>
  <c r="D17" i="5"/>
  <c r="D14" i="5"/>
  <c r="D15" i="5" s="1"/>
  <c r="D6" i="5"/>
  <c r="E18" i="5"/>
  <c r="E17" i="5"/>
  <c r="E14" i="5"/>
  <c r="E15" i="5" s="1"/>
  <c r="E6" i="5"/>
  <c r="F18" i="5"/>
  <c r="F17" i="5"/>
  <c r="F14" i="5"/>
  <c r="F15" i="5" s="1"/>
  <c r="F6" i="5"/>
  <c r="G18" i="5"/>
  <c r="G17" i="5"/>
  <c r="G14" i="5"/>
  <c r="G15" i="5" s="1"/>
  <c r="G6" i="5"/>
  <c r="H18" i="5"/>
  <c r="H17" i="5"/>
  <c r="H14" i="5"/>
  <c r="H15" i="5" s="1"/>
  <c r="H6" i="5"/>
  <c r="I18" i="5"/>
  <c r="I17" i="5"/>
  <c r="I14" i="5"/>
  <c r="I15" i="5" s="1"/>
  <c r="I6" i="5"/>
  <c r="J18" i="5"/>
  <c r="J17" i="5"/>
  <c r="J14" i="5"/>
  <c r="J15" i="5" s="1"/>
  <c r="J6" i="5"/>
  <c r="K18" i="5"/>
  <c r="K17" i="5"/>
  <c r="K14" i="5"/>
  <c r="K15" i="5" s="1"/>
  <c r="K6" i="5"/>
  <c r="L18" i="5"/>
  <c r="L17" i="5"/>
  <c r="L14" i="5"/>
  <c r="L15" i="5" s="1"/>
  <c r="L6" i="5"/>
  <c r="M18" i="5"/>
  <c r="M17" i="5"/>
  <c r="M14" i="5"/>
  <c r="M15" i="5" s="1"/>
  <c r="M6" i="5"/>
  <c r="N18" i="5"/>
  <c r="N17" i="5"/>
  <c r="N14" i="5"/>
  <c r="N15" i="5" s="1"/>
  <c r="N6" i="5"/>
  <c r="O18" i="5"/>
  <c r="O17" i="5"/>
  <c r="O14" i="5"/>
  <c r="O15" i="5" s="1"/>
  <c r="O6" i="5"/>
  <c r="P18" i="5"/>
  <c r="P17" i="5"/>
  <c r="P14" i="5"/>
  <c r="P15" i="5" s="1"/>
  <c r="P6" i="5"/>
  <c r="Q18" i="5"/>
  <c r="Q17" i="5"/>
  <c r="Q14" i="5"/>
  <c r="Q15" i="5" s="1"/>
  <c r="Q6" i="5"/>
  <c r="R18" i="5"/>
  <c r="R17" i="5"/>
  <c r="R14" i="5"/>
  <c r="R15" i="5" s="1"/>
  <c r="R6" i="5"/>
  <c r="S18" i="5"/>
  <c r="S17" i="5"/>
  <c r="S14" i="5"/>
  <c r="S15" i="5" s="1"/>
  <c r="S6" i="5"/>
  <c r="T18" i="5"/>
  <c r="T17" i="5"/>
  <c r="T14" i="5"/>
  <c r="T15" i="5" s="1"/>
  <c r="T6" i="5"/>
  <c r="U18" i="5"/>
  <c r="U17" i="5"/>
  <c r="U14" i="5"/>
  <c r="U15" i="5" s="1"/>
  <c r="U6" i="5"/>
  <c r="V18" i="5"/>
  <c r="V17" i="5"/>
  <c r="V14" i="5"/>
  <c r="V15" i="5" s="1"/>
  <c r="V6" i="5"/>
  <c r="W18" i="5"/>
  <c r="W17" i="5"/>
  <c r="W14" i="5"/>
  <c r="W15" i="5" s="1"/>
  <c r="W6" i="5"/>
  <c r="X18" i="5"/>
  <c r="X17" i="5"/>
  <c r="X14" i="5"/>
  <c r="X15" i="5" s="1"/>
  <c r="X6" i="5"/>
  <c r="Y18" i="5"/>
  <c r="Y17" i="5"/>
  <c r="Y14" i="5"/>
  <c r="Y15" i="5" s="1"/>
  <c r="Y6" i="5"/>
  <c r="Z18" i="5"/>
  <c r="Z17" i="5"/>
  <c r="Z14" i="5"/>
  <c r="Z15" i="5" s="1"/>
  <c r="Z6" i="5"/>
  <c r="AA18" i="5"/>
  <c r="AA17" i="5"/>
  <c r="AA14" i="5"/>
  <c r="AA15" i="5" s="1"/>
  <c r="AA6" i="5"/>
  <c r="AB18" i="5"/>
  <c r="AB17" i="5"/>
  <c r="AB14" i="5"/>
  <c r="AB15" i="5" s="1"/>
  <c r="AB6" i="5"/>
  <c r="AC18" i="5"/>
  <c r="AC17" i="5"/>
  <c r="AC14" i="5"/>
  <c r="AC15" i="5" s="1"/>
  <c r="AC6" i="5"/>
  <c r="AD18" i="5"/>
  <c r="AD17" i="5"/>
  <c r="AD14" i="5"/>
  <c r="AD15" i="5" s="1"/>
  <c r="AD6" i="5"/>
  <c r="AE18" i="5"/>
  <c r="AE17" i="5"/>
  <c r="AE14" i="5"/>
  <c r="AE15" i="5" s="1"/>
  <c r="AE6" i="5"/>
  <c r="AF18" i="5"/>
  <c r="AF17" i="5"/>
  <c r="AF14" i="5"/>
  <c r="AF15" i="5" s="1"/>
  <c r="F6" i="2" s="1"/>
  <c r="AF6" i="5"/>
  <c r="C29" i="5"/>
  <c r="C24" i="5"/>
  <c r="D29" i="5"/>
  <c r="D24" i="5"/>
  <c r="E29" i="5"/>
  <c r="E24" i="5"/>
  <c r="F29" i="5"/>
  <c r="F24" i="5"/>
  <c r="G29" i="5"/>
  <c r="G24" i="5"/>
  <c r="H29" i="5"/>
  <c r="H24" i="5"/>
  <c r="I29" i="5"/>
  <c r="I24" i="5"/>
  <c r="J29" i="5"/>
  <c r="J24" i="5"/>
  <c r="K29" i="5"/>
  <c r="K24" i="5"/>
  <c r="L29" i="5"/>
  <c r="L24" i="5"/>
  <c r="M29" i="5"/>
  <c r="M24" i="5"/>
  <c r="N29" i="5"/>
  <c r="N24" i="5"/>
  <c r="O29" i="5"/>
  <c r="O24" i="5"/>
  <c r="P29" i="5"/>
  <c r="P24" i="5"/>
  <c r="Q29" i="5"/>
  <c r="Q24" i="5"/>
  <c r="R29" i="5"/>
  <c r="R24" i="5"/>
  <c r="S29" i="5"/>
  <c r="S24" i="5"/>
  <c r="T29" i="5"/>
  <c r="T24" i="5"/>
  <c r="U29" i="5"/>
  <c r="U24" i="5"/>
  <c r="V29" i="5"/>
  <c r="V24" i="5"/>
  <c r="W29" i="5"/>
  <c r="W24" i="5"/>
  <c r="X29" i="5"/>
  <c r="X24" i="5"/>
  <c r="Y29" i="5"/>
  <c r="Y24" i="5"/>
  <c r="Z29" i="5"/>
  <c r="Z24" i="5"/>
  <c r="AA29" i="5"/>
  <c r="AA24" i="5"/>
  <c r="AB29" i="5"/>
  <c r="AB24" i="5"/>
  <c r="AC29" i="5"/>
  <c r="AC24" i="5"/>
  <c r="AD29" i="5"/>
  <c r="AD24" i="5"/>
  <c r="AE29" i="5"/>
  <c r="AE24" i="5"/>
  <c r="AF29" i="5"/>
  <c r="AF24" i="5"/>
  <c r="C26" i="5"/>
  <c r="C25" i="5"/>
  <c r="C10" i="5"/>
  <c r="C9" i="5"/>
  <c r="D26" i="5"/>
  <c r="D25" i="5"/>
  <c r="D10" i="5"/>
  <c r="D9" i="5"/>
  <c r="E26" i="5"/>
  <c r="E25" i="5"/>
  <c r="E10" i="5"/>
  <c r="E9" i="5"/>
  <c r="F26" i="5"/>
  <c r="F25" i="5"/>
  <c r="F10" i="5"/>
  <c r="F9" i="5"/>
  <c r="G26" i="5"/>
  <c r="G25" i="5"/>
  <c r="G10" i="5"/>
  <c r="G9" i="5"/>
  <c r="H26" i="5"/>
  <c r="H25" i="5"/>
  <c r="H10" i="5"/>
  <c r="H9" i="5"/>
  <c r="I26" i="5"/>
  <c r="I25" i="5"/>
  <c r="I10" i="5"/>
  <c r="I9" i="5"/>
  <c r="J26" i="5"/>
  <c r="J25" i="5"/>
  <c r="J10" i="5"/>
  <c r="J9" i="5"/>
  <c r="K26" i="5"/>
  <c r="K25" i="5"/>
  <c r="K10" i="5"/>
  <c r="K9" i="5"/>
  <c r="L26" i="5"/>
  <c r="L25" i="5"/>
  <c r="L10" i="5"/>
  <c r="L9" i="5"/>
  <c r="M26" i="5"/>
  <c r="M25" i="5"/>
  <c r="M10" i="5"/>
  <c r="M9" i="5"/>
  <c r="N26" i="5"/>
  <c r="N25" i="5"/>
  <c r="N10" i="5"/>
  <c r="N9" i="5"/>
  <c r="O26" i="5"/>
  <c r="O25" i="5"/>
  <c r="O10" i="5"/>
  <c r="O9" i="5"/>
  <c r="P26" i="5"/>
  <c r="P25" i="5"/>
  <c r="P10" i="5"/>
  <c r="P9" i="5"/>
  <c r="Q26" i="5"/>
  <c r="Q25" i="5"/>
  <c r="Q10" i="5"/>
  <c r="Q9" i="5"/>
  <c r="R26" i="5"/>
  <c r="R25" i="5"/>
  <c r="R10" i="5"/>
  <c r="R9" i="5"/>
  <c r="S26" i="5"/>
  <c r="S25" i="5"/>
  <c r="S10" i="5"/>
  <c r="S9" i="5"/>
  <c r="T26" i="5"/>
  <c r="T25" i="5"/>
  <c r="T10" i="5"/>
  <c r="T9" i="5"/>
  <c r="U26" i="5"/>
  <c r="U25" i="5"/>
  <c r="U10" i="5"/>
  <c r="U9" i="5"/>
  <c r="V26" i="5"/>
  <c r="V25" i="5"/>
  <c r="V10" i="5"/>
  <c r="V9" i="5"/>
  <c r="W26" i="5"/>
  <c r="W25" i="5"/>
  <c r="W10" i="5"/>
  <c r="W9" i="5"/>
  <c r="X26" i="5"/>
  <c r="X25" i="5"/>
  <c r="X10" i="5"/>
  <c r="X9" i="5"/>
  <c r="Y26" i="5"/>
  <c r="Y25" i="5"/>
  <c r="Y10" i="5"/>
  <c r="Y9" i="5"/>
  <c r="Z26" i="5"/>
  <c r="Z25" i="5"/>
  <c r="Z10" i="5"/>
  <c r="Z9" i="5"/>
  <c r="AA26" i="5"/>
  <c r="AA25" i="5"/>
  <c r="AA10" i="5"/>
  <c r="AA9" i="5"/>
  <c r="AB26" i="5"/>
  <c r="AB25" i="5"/>
  <c r="AB10" i="5"/>
  <c r="AB9" i="5"/>
  <c r="AC26" i="5"/>
  <c r="AC25" i="5"/>
  <c r="AC10" i="5"/>
  <c r="AC9" i="5"/>
  <c r="AD26" i="5"/>
  <c r="AD25" i="5"/>
  <c r="AD10" i="5"/>
  <c r="AD9" i="5"/>
  <c r="AE26" i="5"/>
  <c r="AE25" i="5"/>
  <c r="AE10" i="5"/>
  <c r="AE9" i="5"/>
  <c r="AF26" i="5"/>
  <c r="AF25" i="5"/>
  <c r="AF10" i="5"/>
  <c r="AF9" i="5"/>
  <c r="E6" i="2" l="1"/>
  <c r="D6" i="2"/>
  <c r="C6" i="2"/>
  <c r="AF42" i="5"/>
  <c r="AF47" i="5" s="1"/>
  <c r="F11" i="2" s="1"/>
  <c r="AF36" i="5"/>
  <c r="AF33" i="5"/>
  <c r="AF27" i="5"/>
  <c r="AF14" i="4"/>
  <c r="AF13" i="4"/>
  <c r="AF12" i="4"/>
  <c r="AF19" i="5"/>
  <c r="AF21" i="5" s="1"/>
  <c r="F7" i="2" s="1"/>
  <c r="AF8" i="5"/>
  <c r="AF11" i="5" s="1"/>
  <c r="AF30" i="5"/>
  <c r="F8" i="2" s="1"/>
  <c r="AE42" i="5"/>
  <c r="AE47" i="5" s="1"/>
  <c r="AE36" i="5"/>
  <c r="AE33" i="5"/>
  <c r="AE27" i="5"/>
  <c r="AE14" i="4"/>
  <c r="AE13" i="4"/>
  <c r="AE12" i="4"/>
  <c r="AE19" i="5"/>
  <c r="AE21" i="5" s="1"/>
  <c r="AE8" i="5"/>
  <c r="AE11" i="5" s="1"/>
  <c r="AE30" i="5"/>
  <c r="AD42" i="5"/>
  <c r="AD47" i="5" s="1"/>
  <c r="AD36" i="5"/>
  <c r="AD33" i="5"/>
  <c r="AD27" i="5"/>
  <c r="AD14" i="4"/>
  <c r="AD13" i="4"/>
  <c r="AD12" i="4"/>
  <c r="AD19" i="5"/>
  <c r="AD21" i="5" s="1"/>
  <c r="AD8" i="5"/>
  <c r="AD11" i="5" s="1"/>
  <c r="AD30" i="5"/>
  <c r="AC42" i="5"/>
  <c r="AC47" i="5" s="1"/>
  <c r="AC36" i="5"/>
  <c r="AC33" i="5"/>
  <c r="AC27" i="5"/>
  <c r="AC14" i="4"/>
  <c r="AC13" i="4"/>
  <c r="AC12" i="4"/>
  <c r="AC19" i="5"/>
  <c r="AC21" i="5" s="1"/>
  <c r="AC8" i="5"/>
  <c r="AC11" i="5" s="1"/>
  <c r="AC30" i="5"/>
  <c r="AB42" i="5"/>
  <c r="AB47" i="5" s="1"/>
  <c r="AB36" i="5"/>
  <c r="AB33" i="5"/>
  <c r="AB27" i="5"/>
  <c r="AB14" i="4"/>
  <c r="AB13" i="4"/>
  <c r="AB12" i="4"/>
  <c r="AB19" i="5"/>
  <c r="AB21" i="5" s="1"/>
  <c r="AB8" i="5"/>
  <c r="AB11" i="5" s="1"/>
  <c r="AB30" i="5"/>
  <c r="AA42" i="5"/>
  <c r="AA47" i="5" s="1"/>
  <c r="E11" i="2" s="1"/>
  <c r="AA36" i="5"/>
  <c r="AA33" i="5"/>
  <c r="AA27" i="5"/>
  <c r="AA14" i="4"/>
  <c r="AA13" i="4"/>
  <c r="AA12" i="4"/>
  <c r="E20" i="2"/>
  <c r="AA19" i="5"/>
  <c r="AA21" i="5" s="1"/>
  <c r="E7" i="2" s="1"/>
  <c r="AA8" i="5"/>
  <c r="AA11" i="5" s="1"/>
  <c r="AA30" i="5"/>
  <c r="E8" i="2" s="1"/>
  <c r="Z42" i="5"/>
  <c r="Z47" i="5" s="1"/>
  <c r="Z36" i="5"/>
  <c r="Z33" i="5"/>
  <c r="Z27" i="5"/>
  <c r="Z14" i="4"/>
  <c r="Z13" i="4"/>
  <c r="Z12" i="4"/>
  <c r="Z19" i="5"/>
  <c r="Z21" i="5" s="1"/>
  <c r="Z8" i="5"/>
  <c r="Z11" i="5" s="1"/>
  <c r="Z30" i="5"/>
  <c r="Y42" i="5"/>
  <c r="Y47" i="5" s="1"/>
  <c r="Y36" i="5"/>
  <c r="Y33" i="5"/>
  <c r="Y27" i="5"/>
  <c r="Y14" i="4"/>
  <c r="Y13" i="4"/>
  <c r="Y12" i="4"/>
  <c r="Y19" i="5"/>
  <c r="Y21" i="5" s="1"/>
  <c r="Y8" i="5"/>
  <c r="Y11" i="5" s="1"/>
  <c r="Y30" i="5"/>
  <c r="X42" i="5"/>
  <c r="X47" i="5" s="1"/>
  <c r="X36" i="5"/>
  <c r="X33" i="5"/>
  <c r="X27" i="5"/>
  <c r="X14" i="4"/>
  <c r="X13" i="4"/>
  <c r="X12" i="4"/>
  <c r="X19" i="5"/>
  <c r="X21" i="5" s="1"/>
  <c r="X8" i="5"/>
  <c r="X11" i="5" s="1"/>
  <c r="X30" i="5"/>
  <c r="W42" i="5"/>
  <c r="W47" i="5" s="1"/>
  <c r="W36" i="5"/>
  <c r="W33" i="5"/>
  <c r="W27" i="5"/>
  <c r="W14" i="4"/>
  <c r="W13" i="4"/>
  <c r="W12" i="4"/>
  <c r="W19" i="5"/>
  <c r="W21" i="5" s="1"/>
  <c r="W8" i="5"/>
  <c r="W11" i="5" s="1"/>
  <c r="W30" i="5"/>
  <c r="V42" i="5"/>
  <c r="V47" i="5" s="1"/>
  <c r="V36" i="5"/>
  <c r="V33" i="5"/>
  <c r="V27" i="5"/>
  <c r="V14" i="4"/>
  <c r="V13" i="4"/>
  <c r="V12" i="4"/>
  <c r="V19" i="5"/>
  <c r="V21" i="5" s="1"/>
  <c r="V8" i="5"/>
  <c r="V11" i="5" s="1"/>
  <c r="V30" i="5"/>
  <c r="U42" i="5"/>
  <c r="U47" i="5" s="1"/>
  <c r="U36" i="5"/>
  <c r="U33" i="5"/>
  <c r="U27" i="5"/>
  <c r="U14" i="4"/>
  <c r="U13" i="4"/>
  <c r="U12" i="4"/>
  <c r="U19" i="5"/>
  <c r="U21" i="5" s="1"/>
  <c r="U8" i="5"/>
  <c r="U11" i="5" s="1"/>
  <c r="U30" i="5"/>
  <c r="T42" i="5"/>
  <c r="T47" i="5" s="1"/>
  <c r="T36" i="5"/>
  <c r="T33" i="5"/>
  <c r="T27" i="5"/>
  <c r="T14" i="4"/>
  <c r="T13" i="4"/>
  <c r="T12" i="4"/>
  <c r="T19" i="5"/>
  <c r="T21" i="5" s="1"/>
  <c r="T8" i="5"/>
  <c r="T11" i="5" s="1"/>
  <c r="T30" i="5"/>
  <c r="S42" i="5"/>
  <c r="S47" i="5" s="1"/>
  <c r="S36" i="5"/>
  <c r="S33" i="5"/>
  <c r="S27" i="5"/>
  <c r="S14" i="4"/>
  <c r="S13" i="4"/>
  <c r="S12" i="4"/>
  <c r="S19" i="5"/>
  <c r="S21" i="5" s="1"/>
  <c r="S8" i="5"/>
  <c r="S11" i="5" s="1"/>
  <c r="S30" i="5"/>
  <c r="R42" i="5"/>
  <c r="R47" i="5" s="1"/>
  <c r="R36" i="5"/>
  <c r="R33" i="5"/>
  <c r="R27" i="5"/>
  <c r="R14" i="4"/>
  <c r="R13" i="4"/>
  <c r="R12" i="4"/>
  <c r="R19" i="5"/>
  <c r="R21" i="5" s="1"/>
  <c r="R8" i="5"/>
  <c r="R11" i="5" s="1"/>
  <c r="R30" i="5"/>
  <c r="Q42" i="5"/>
  <c r="Q47" i="5" s="1"/>
  <c r="Q36" i="5"/>
  <c r="Q33" i="5"/>
  <c r="Q27" i="5"/>
  <c r="Q14" i="4"/>
  <c r="Q13" i="4"/>
  <c r="Q12" i="4"/>
  <c r="Q19" i="5"/>
  <c r="Q21" i="5" s="1"/>
  <c r="Q8" i="5"/>
  <c r="Q11" i="5" s="1"/>
  <c r="Q30" i="5"/>
  <c r="P42" i="5"/>
  <c r="P47" i="5" s="1"/>
  <c r="P36" i="5"/>
  <c r="P33" i="5"/>
  <c r="P27" i="5"/>
  <c r="P14" i="4"/>
  <c r="P13" i="4"/>
  <c r="P12" i="4"/>
  <c r="P19" i="5"/>
  <c r="P21" i="5" s="1"/>
  <c r="P8" i="5"/>
  <c r="P11" i="5" s="1"/>
  <c r="P30" i="5"/>
  <c r="O42" i="5"/>
  <c r="O47" i="5" s="1"/>
  <c r="D11" i="2" s="1"/>
  <c r="O36" i="5"/>
  <c r="O33" i="5"/>
  <c r="O27" i="5"/>
  <c r="O14" i="4"/>
  <c r="O13" i="4"/>
  <c r="O12" i="4"/>
  <c r="D20" i="2"/>
  <c r="O19" i="5"/>
  <c r="O21" i="5" s="1"/>
  <c r="D7" i="2" s="1"/>
  <c r="O8" i="5"/>
  <c r="O11" i="5" s="1"/>
  <c r="O30" i="5"/>
  <c r="D8" i="2" s="1"/>
  <c r="N36" i="5"/>
  <c r="N33" i="5"/>
  <c r="N27" i="5"/>
  <c r="N14" i="4"/>
  <c r="N13" i="4"/>
  <c r="N12" i="4"/>
  <c r="N19" i="5"/>
  <c r="N21" i="5" s="1"/>
  <c r="N8" i="5"/>
  <c r="N11" i="5" s="1"/>
  <c r="N30" i="5"/>
  <c r="M36" i="5"/>
  <c r="M33" i="5"/>
  <c r="M27" i="5"/>
  <c r="M14" i="4"/>
  <c r="M13" i="4"/>
  <c r="M12" i="4"/>
  <c r="M19" i="5"/>
  <c r="M21" i="5" s="1"/>
  <c r="M8" i="5"/>
  <c r="M11" i="5" s="1"/>
  <c r="M30" i="5"/>
  <c r="L36" i="5"/>
  <c r="L33" i="5"/>
  <c r="L27" i="5"/>
  <c r="L14" i="4"/>
  <c r="L13" i="4"/>
  <c r="L12" i="4"/>
  <c r="L19" i="5"/>
  <c r="L21" i="5" s="1"/>
  <c r="L8" i="5"/>
  <c r="L11" i="5" s="1"/>
  <c r="L30" i="5"/>
  <c r="K36" i="5"/>
  <c r="K33" i="5"/>
  <c r="K27" i="5"/>
  <c r="K14" i="4"/>
  <c r="K13" i="4"/>
  <c r="K12" i="4"/>
  <c r="K19" i="5"/>
  <c r="K21" i="5" s="1"/>
  <c r="K8" i="5"/>
  <c r="K11" i="5" s="1"/>
  <c r="K30" i="5"/>
  <c r="J36" i="5"/>
  <c r="J33" i="5"/>
  <c r="J27" i="5"/>
  <c r="J14" i="4"/>
  <c r="J13" i="4"/>
  <c r="J12" i="4"/>
  <c r="J19" i="5"/>
  <c r="J21" i="5" s="1"/>
  <c r="J8" i="5"/>
  <c r="J11" i="5" s="1"/>
  <c r="J30" i="5"/>
  <c r="I36" i="5"/>
  <c r="I33" i="5"/>
  <c r="I27" i="5"/>
  <c r="I14" i="4"/>
  <c r="I13" i="4"/>
  <c r="I12" i="4"/>
  <c r="I19" i="5"/>
  <c r="I21" i="5" s="1"/>
  <c r="I8" i="5"/>
  <c r="I11" i="5" s="1"/>
  <c r="I30" i="5"/>
  <c r="H36" i="5"/>
  <c r="H33" i="5"/>
  <c r="H27" i="5"/>
  <c r="H14" i="4"/>
  <c r="H13" i="4"/>
  <c r="H12" i="4"/>
  <c r="H19" i="5"/>
  <c r="H21" i="5" s="1"/>
  <c r="H8" i="5"/>
  <c r="H11" i="5" s="1"/>
  <c r="H30" i="5"/>
  <c r="G36" i="5"/>
  <c r="G33" i="5"/>
  <c r="G27" i="5"/>
  <c r="G14" i="4"/>
  <c r="G13" i="4"/>
  <c r="G12" i="4"/>
  <c r="G19" i="5"/>
  <c r="G21" i="5" s="1"/>
  <c r="G8" i="5"/>
  <c r="G11" i="5" s="1"/>
  <c r="G30" i="5"/>
  <c r="F36" i="5"/>
  <c r="F33" i="5"/>
  <c r="F27" i="5"/>
  <c r="F14" i="4"/>
  <c r="F13" i="4"/>
  <c r="F12" i="4"/>
  <c r="F19" i="5"/>
  <c r="F21" i="5" s="1"/>
  <c r="F8" i="5"/>
  <c r="F11" i="5" s="1"/>
  <c r="F30" i="5"/>
  <c r="E36" i="5"/>
  <c r="E33" i="5"/>
  <c r="E27" i="5"/>
  <c r="E14" i="4"/>
  <c r="E13" i="4"/>
  <c r="E12" i="4"/>
  <c r="E19" i="5"/>
  <c r="E21" i="5" s="1"/>
  <c r="E8" i="5"/>
  <c r="E11" i="5" s="1"/>
  <c r="E30" i="5"/>
  <c r="D36" i="5"/>
  <c r="D33" i="5"/>
  <c r="D27" i="5"/>
  <c r="D14" i="4"/>
  <c r="D13" i="4"/>
  <c r="D12" i="4"/>
  <c r="D19" i="5"/>
  <c r="D21" i="5" s="1"/>
  <c r="D8" i="5"/>
  <c r="D11" i="5" s="1"/>
  <c r="D30" i="5"/>
  <c r="C36" i="5"/>
  <c r="C33" i="5"/>
  <c r="C27" i="5"/>
  <c r="C14" i="4"/>
  <c r="C13" i="4"/>
  <c r="C12" i="4"/>
  <c r="C20" i="2"/>
  <c r="F20" i="2" s="1"/>
  <c r="C19" i="5"/>
  <c r="C21" i="5" s="1"/>
  <c r="C7" i="2" s="1"/>
  <c r="C8" i="5"/>
  <c r="C11" i="5" s="1"/>
  <c r="C30" i="5"/>
  <c r="C8" i="2" s="1"/>
  <c r="C5" i="2" l="1"/>
  <c r="C37" i="5"/>
  <c r="C15" i="4"/>
  <c r="C16" i="4" s="1"/>
  <c r="C39" i="5"/>
  <c r="D37" i="5"/>
  <c r="D15" i="4"/>
  <c r="D39" i="5"/>
  <c r="E37" i="5"/>
  <c r="E15" i="4"/>
  <c r="E39" i="5"/>
  <c r="F37" i="5"/>
  <c r="F15" i="4"/>
  <c r="F39" i="5"/>
  <c r="G37" i="5"/>
  <c r="G15" i="4"/>
  <c r="G39" i="5"/>
  <c r="H37" i="5"/>
  <c r="H15" i="4"/>
  <c r="H39" i="5"/>
  <c r="I37" i="5"/>
  <c r="I15" i="4"/>
  <c r="I39" i="5"/>
  <c r="J37" i="5"/>
  <c r="J15" i="4"/>
  <c r="J39" i="5"/>
  <c r="K37" i="5"/>
  <c r="K15" i="4"/>
  <c r="K39" i="5"/>
  <c r="L37" i="5"/>
  <c r="L15" i="4"/>
  <c r="L39" i="5"/>
  <c r="M37" i="5"/>
  <c r="M15" i="4"/>
  <c r="M39" i="5"/>
  <c r="N37" i="5"/>
  <c r="N15" i="4"/>
  <c r="N39" i="5"/>
  <c r="D5" i="2"/>
  <c r="O37" i="5"/>
  <c r="O15" i="4"/>
  <c r="O39" i="5"/>
  <c r="P37" i="5"/>
  <c r="P15" i="4"/>
  <c r="P39" i="5"/>
  <c r="Q37" i="5"/>
  <c r="Q15" i="4"/>
  <c r="Q39" i="5"/>
  <c r="R37" i="5"/>
  <c r="R15" i="4"/>
  <c r="R39" i="5"/>
  <c r="S37" i="5"/>
  <c r="S15" i="4"/>
  <c r="S39" i="5"/>
  <c r="T37" i="5"/>
  <c r="T15" i="4"/>
  <c r="T39" i="5"/>
  <c r="U37" i="5"/>
  <c r="U15" i="4"/>
  <c r="U39" i="5"/>
  <c r="V37" i="5"/>
  <c r="V15" i="4"/>
  <c r="V39" i="5"/>
  <c r="W37" i="5"/>
  <c r="W15" i="4"/>
  <c r="W39" i="5"/>
  <c r="X37" i="5"/>
  <c r="X15" i="4"/>
  <c r="X39" i="5"/>
  <c r="Y37" i="5"/>
  <c r="Y15" i="4"/>
  <c r="Y39" i="5"/>
  <c r="Z37" i="5"/>
  <c r="Z15" i="4"/>
  <c r="Z39" i="5"/>
  <c r="E5" i="2"/>
  <c r="AA37" i="5"/>
  <c r="AA15" i="4"/>
  <c r="AA39" i="5"/>
  <c r="AB37" i="5"/>
  <c r="AB15" i="4"/>
  <c r="AB39" i="5"/>
  <c r="AC37" i="5"/>
  <c r="AC15" i="4"/>
  <c r="AC39" i="5"/>
  <c r="AD37" i="5"/>
  <c r="AD15" i="4"/>
  <c r="AD39" i="5"/>
  <c r="AE37" i="5"/>
  <c r="AE15" i="4"/>
  <c r="AE39" i="5"/>
  <c r="F5" i="2"/>
  <c r="AF37" i="5"/>
  <c r="AF15" i="4"/>
  <c r="AF39" i="5"/>
  <c r="F10" i="2" s="1"/>
  <c r="E10" i="2" l="1"/>
  <c r="D10" i="2"/>
  <c r="C10" i="2"/>
  <c r="C32" i="5"/>
  <c r="C34" i="5" s="1"/>
  <c r="D16" i="4"/>
  <c r="D32" i="5" l="1"/>
  <c r="D34" i="5" s="1"/>
  <c r="D49" i="5" s="1"/>
  <c r="E16" i="4"/>
  <c r="C49" i="5"/>
  <c r="C50" i="5" l="1"/>
  <c r="D50" i="5" s="1"/>
  <c r="C26" i="2"/>
  <c r="E32" i="5"/>
  <c r="E34" i="5" s="1"/>
  <c r="F16" i="4"/>
  <c r="F32" i="5" l="1"/>
  <c r="F34" i="5" s="1"/>
  <c r="F49" i="5" s="1"/>
  <c r="G16" i="4"/>
  <c r="E49" i="5"/>
  <c r="E50" i="5"/>
  <c r="F50" i="5" s="1"/>
  <c r="G32" i="5" l="1"/>
  <c r="G34" i="5" s="1"/>
  <c r="H16" i="4"/>
  <c r="H32" i="5" l="1"/>
  <c r="H34" i="5" s="1"/>
  <c r="H49" i="5" s="1"/>
  <c r="I16" i="4"/>
  <c r="G49" i="5"/>
  <c r="G50" i="5" l="1"/>
  <c r="H50" i="5" s="1"/>
  <c r="I32" i="5"/>
  <c r="I34" i="5" s="1"/>
  <c r="J16" i="4"/>
  <c r="J32" i="5" l="1"/>
  <c r="J34" i="5" s="1"/>
  <c r="J49" i="5" s="1"/>
  <c r="K16" i="4"/>
  <c r="I49" i="5"/>
  <c r="I50" i="5"/>
  <c r="J50" i="5" s="1"/>
  <c r="K32" i="5" l="1"/>
  <c r="K34" i="5" s="1"/>
  <c r="L16" i="4"/>
  <c r="L32" i="5" l="1"/>
  <c r="L34" i="5" s="1"/>
  <c r="L49" i="5" s="1"/>
  <c r="M16" i="4"/>
  <c r="K49" i="5"/>
  <c r="K50" i="5" l="1"/>
  <c r="L50" i="5" s="1"/>
  <c r="M32" i="5"/>
  <c r="M34" i="5" s="1"/>
  <c r="N16" i="4"/>
  <c r="N32" i="5" l="1"/>
  <c r="N34" i="5" s="1"/>
  <c r="N49" i="5" s="1"/>
  <c r="O16" i="4"/>
  <c r="M49" i="5"/>
  <c r="C15" i="2" s="1"/>
  <c r="C9" i="2"/>
  <c r="C12" i="2" s="1"/>
  <c r="M50" i="5"/>
  <c r="N50" i="5" s="1"/>
  <c r="C21" i="2" l="1"/>
  <c r="C19" i="2"/>
  <c r="O32" i="5"/>
  <c r="O34" i="5" s="1"/>
  <c r="P16" i="4"/>
  <c r="P32" i="5" l="1"/>
  <c r="P34" i="5" s="1"/>
  <c r="P49" i="5" s="1"/>
  <c r="Q16" i="4"/>
  <c r="O49" i="5"/>
  <c r="O50" i="5" l="1"/>
  <c r="P50" i="5" s="1"/>
  <c r="Q32" i="5"/>
  <c r="Q34" i="5" s="1"/>
  <c r="R16" i="4"/>
  <c r="R32" i="5" l="1"/>
  <c r="R34" i="5" s="1"/>
  <c r="R49" i="5" s="1"/>
  <c r="S16" i="4"/>
  <c r="Q49" i="5"/>
  <c r="Q50" i="5"/>
  <c r="R50" i="5" s="1"/>
  <c r="S32" i="5" l="1"/>
  <c r="S34" i="5" s="1"/>
  <c r="T16" i="4"/>
  <c r="T32" i="5" l="1"/>
  <c r="T34" i="5" s="1"/>
  <c r="T49" i="5" s="1"/>
  <c r="U16" i="4"/>
  <c r="S49" i="5"/>
  <c r="S50" i="5" l="1"/>
  <c r="T50" i="5" s="1"/>
  <c r="U32" i="5"/>
  <c r="U34" i="5" s="1"/>
  <c r="V16" i="4"/>
  <c r="V32" i="5" l="1"/>
  <c r="V34" i="5" s="1"/>
  <c r="V49" i="5" s="1"/>
  <c r="W16" i="4"/>
  <c r="U49" i="5"/>
  <c r="U50" i="5"/>
  <c r="V50" i="5" s="1"/>
  <c r="W32" i="5" l="1"/>
  <c r="W34" i="5" s="1"/>
  <c r="X16" i="4"/>
  <c r="X32" i="5" l="1"/>
  <c r="X34" i="5" s="1"/>
  <c r="X49" i="5" s="1"/>
  <c r="Y16" i="4"/>
  <c r="W49" i="5"/>
  <c r="W50" i="5" l="1"/>
  <c r="X50" i="5" s="1"/>
  <c r="Y32" i="5"/>
  <c r="Y34" i="5" s="1"/>
  <c r="Z16" i="4"/>
  <c r="Z32" i="5" l="1"/>
  <c r="Z34" i="5" s="1"/>
  <c r="Z49" i="5" s="1"/>
  <c r="AA16" i="4"/>
  <c r="Y49" i="5"/>
  <c r="D15" i="2" s="1"/>
  <c r="D9" i="2"/>
  <c r="D12" i="2" s="1"/>
  <c r="Y50" i="5"/>
  <c r="Z50" i="5" s="1"/>
  <c r="D21" i="2" l="1"/>
  <c r="D19" i="2"/>
  <c r="AA32" i="5"/>
  <c r="AA34" i="5" s="1"/>
  <c r="AB16" i="4"/>
  <c r="AB32" i="5" l="1"/>
  <c r="AB34" i="5" s="1"/>
  <c r="AB49" i="5" s="1"/>
  <c r="AC16" i="4"/>
  <c r="AA49" i="5"/>
  <c r="AA50" i="5" l="1"/>
  <c r="AB50" i="5" s="1"/>
  <c r="AC32" i="5"/>
  <c r="AC34" i="5" s="1"/>
  <c r="AD16" i="4"/>
  <c r="AD32" i="5" l="1"/>
  <c r="AD34" i="5" s="1"/>
  <c r="AD49" i="5" s="1"/>
  <c r="AE16" i="4"/>
  <c r="AC49" i="5"/>
  <c r="AC50" i="5"/>
  <c r="AD50" i="5" s="1"/>
  <c r="AE32" i="5" l="1"/>
  <c r="AE34" i="5" s="1"/>
  <c r="AF16" i="4"/>
  <c r="AF32" i="5" s="1"/>
  <c r="AF34" i="5" s="1"/>
  <c r="F9" i="2" l="1"/>
  <c r="F12" i="2" s="1"/>
  <c r="AF49" i="5"/>
  <c r="D26" i="2" s="1"/>
  <c r="AE49" i="5"/>
  <c r="E9" i="2"/>
  <c r="E12" i="2" s="1"/>
  <c r="AE50" i="5" l="1"/>
  <c r="AF50" i="5" s="1"/>
  <c r="E15" i="2"/>
  <c r="E21" i="2" l="1"/>
  <c r="E19" i="2"/>
  <c r="F15" i="2"/>
  <c r="C24" i="2" l="1"/>
  <c r="F21" i="2"/>
  <c r="F19" i="2"/>
  <c r="C25" i="2"/>
</calcChain>
</file>

<file path=xl/sharedStrings.xml><?xml version="1.0" encoding="utf-8"?>
<sst xmlns="http://schemas.openxmlformats.org/spreadsheetml/2006/main" count="429" uniqueCount="394">
  <si>
    <t>Scribl D2C  -  Infrastructure TCO Model</t>
  </si>
  <si>
    <t>What this is</t>
  </si>
  <si>
    <t>A 30-month run-rate model (Oct 2026 - Mar 2029) for Scribl D2C infrastructure, built bottom-up from the six</t>
  </si>
  <si>
    <t>consumption pillars: Compute (EKS), Security (Cognito + WAF), Networking (ALB + data transfer),</t>
  </si>
  <si>
    <t>Database (DynamoDB + Aurora), Storage (S3), and AI App (Bedrock + Claude). A Data Lake / ML research</t>
  </si>
  <si>
    <t>workstream switches on after Year 1 for mental-health outcomes research and dataset publishing. Unit prices</t>
  </si>
  <si>
    <t>are anchored to AWS us-east-2 (Ohio) and Anthropic rates, both validated June 2026.</t>
  </si>
  <si>
    <t>Drivers of consumption</t>
  </si>
  <si>
    <t>Pillars are listed largest first. AI Inference is the dominant line, around 60% of the 30-month total and</t>
  </si>
  <si>
    <t>about two-thirds at full scale. The rest is real infrastructure: the model runs three environments (dev,</t>
  </si>
  <si>
    <t>stage, prod), so compute and database carry an always-on baseline. The gross floor is around $11k/month at</t>
  </si>
  <si>
    <t>launch; roughly $9.5k is demand-driven and the remainder is reserved launch-readiness headroom you can dial</t>
  </si>
  <si>
    <t>on the Assumptions tab. User scaling and regional expansion lift it from there.</t>
  </si>
  <si>
    <t>AI Inference  (Bedrock + Claude)</t>
  </si>
  <si>
    <t>The daily prompt is generated once for all users, so prompt generation runs about 150 calls a month and</t>
  </si>
  <si>
    <t>costs roughly five dollars. The rest is per-item: a vision read on every drawing that returns a caption or</t>
  </si>
  <si>
    <t>headline, and a moderation check on every submission. The calls Claude makes inside the product:</t>
  </si>
  <si>
    <t>Inference feature</t>
  </si>
  <si>
    <t>Model</t>
  </si>
  <si>
    <t>Fires on</t>
  </si>
  <si>
    <t>Calls/mo @ 5M</t>
  </si>
  <si>
    <t>Share of AI $</t>
  </si>
  <si>
    <t>Daily prompt generation</t>
  </si>
  <si>
    <t>Opus 4.8</t>
  </si>
  <si>
    <t>Once per day, all users</t>
  </si>
  <si>
    <t>~150</t>
  </si>
  <si>
    <t>&lt;0.1%</t>
  </si>
  <si>
    <t>Drawing read + caption/headline</t>
  </si>
  <si>
    <t>Sonnet 4.6 (vision)</t>
  </si>
  <si>
    <t>Every drawing submitted</t>
  </si>
  <si>
    <t>~14.6M</t>
  </si>
  <si>
    <t>~78%</t>
  </si>
  <si>
    <t>Content moderation</t>
  </si>
  <si>
    <t>Haiku 4.5</t>
  </si>
  <si>
    <t>Every submission</t>
  </si>
  <si>
    <t>~26.6M</t>
  </si>
  <si>
    <t>~22%</t>
  </si>
  <si>
    <t>Personalized follow-ups</t>
  </si>
  <si>
    <t>Agentic (memory)</t>
  </si>
  <si>
    <t>Post-launch; not modelled</t>
  </si>
  <si>
    <t>--</t>
  </si>
  <si>
    <t>Exciting Artifact composition</t>
  </si>
  <si>
    <t>Generative</t>
  </si>
  <si>
    <t>Q1 2027; not modelled</t>
  </si>
  <si>
    <t>Shares are at default assumptions and 5M users. The two post-launch features are listed for completeness;</t>
  </si>
  <si>
    <t>neither is in the cost numbers.</t>
  </si>
  <si>
    <t>Compute  (EKS)</t>
  </si>
  <si>
    <t>One EKS cluster per environment runs the application services. Production runs in every active region while</t>
  </si>
  <si>
    <t>dev and stage stay in the primary region, so the cluster count goes from three today (dev, stage, prod in</t>
  </si>
  <si>
    <t>Ohio) to five at full three-region expansion (prod in all three regions, plus dev and stage in Ohio). The</t>
  </si>
  <si>
    <t>Drivers tab shows this count, and control plane, load balancers, NAT, and WAF all scale with it. Production</t>
  </si>
  <si>
    <t>worker nodes scale with DAU from a four-node HA floor (m5.xlarge, us-east-2, 25% Savings Plan), with dev and</t>
  </si>
  <si>
    <t>stage at half. Observability (CloudWatch, Prometheus, Grafana, X-Ray) has a fixed base per environment plus a variable component</t>
  </si>
  <si>
    <t>that grows with API traffic. The platform baseline (ECR, Secrets, CI, bastion) stays fixed. An explicit</t>
  </si>
  <si>
    <t>reserved/standby line sets how much launch-readiness and DR headroom you hold ahead of demand.</t>
  </si>
  <si>
    <t>Security  (Cognito + WAF)</t>
  </si>
  <si>
    <t>Cognito is billed on monthly active users using AWS volume tiers (first 50,000 free, then a declining rate</t>
  </si>
  <si>
    <t>from $0.0055 down to $0.0025 per MAU), so it tracks the MAU line and becomes the largest non-AI line at five</t>
  </si>
  <si>
    <t>million users. WAF runs a web ACL per environment plus a per-request inspection fee. Both price the same</t>
  </si>
  <si>
    <t>across regions, so this pillar carries no regional premium.</t>
  </si>
  <si>
    <t>Networking  (ALB + data transfer)</t>
  </si>
  <si>
    <t>Load balancers and NAT gateways run per environment per region, a fixed baseline that grows as regions come</t>
  </si>
  <si>
    <t>online. The variable half is outbound data transfer from channel browsing, which becomes the largest</t>
  </si>
  <si>
    <t>networking line at scale; the 'media views per DAU per day' input moves it most, and Singapore egress is the</t>
  </si>
  <si>
    <t>priciest of the three regions. Media delivery does not route through NAT.</t>
  </si>
  <si>
    <t>Database  (DynamoDB + Aurora)</t>
  </si>
  <si>
    <t>Aurora Serverless v2 is the relational system of record; production ACUs scale with DAU above a ten-ACU HA</t>
  </si>
  <si>
    <t>floor, while dev and stage scale to a low idle floor as Serverless v2 is designed to. ElastiCache (Redis)</t>
  </si>
  <si>
    <t>and OpenSearch (search plus log analytics) run as always-on baselines across all environments. DynamoDB</t>
  </si>
  <si>
    <t>carries high-velocity items on-demand and stays small. Aurora plus the cache and search baselines make this</t>
  </si>
  <si>
    <t>the second-largest floor at launch.</t>
  </si>
  <si>
    <t>Storage  (S3)</t>
  </si>
  <si>
    <t>Cumulative media: every drawing, voice clip, and text response is kept, so the line only climbs, even if</t>
  </si>
  <si>
    <t>DAU flattens. The model uses an effective rate that blends S3 Standard ($0.023/GB in us-east-2) with</t>
  </si>
  <si>
    <t>lifecycle tiering of aged media to Infrequent Access. Request charges (PUT on submit, GET on view) are a</t>
  </si>
  <si>
    <t>second, smaller component.</t>
  </si>
  <si>
    <t>Data Lake / ML research</t>
  </si>
  <si>
    <t>Centralized in the primary region (us-east-2), not replicated regionally. Lake storage grows with the user</t>
  </si>
  <si>
    <t>base; cost also tracks researcher headcount through SageMaker notebooks and Athena query scan, plus GPU</t>
  </si>
  <si>
    <t>hours for model training. The workstream is gated to start in the month set on the Assumptions tab (default</t>
  </si>
  <si>
    <t>month 13). The compute is modest; the consent and de-identification work behind it is not, and sits outside</t>
  </si>
  <si>
    <t>this model.</t>
  </si>
  <si>
    <t>Regional deployment</t>
  </si>
  <si>
    <t>The model launches in us-east-2 (Ohio) and expands production to two more regions. Each one adds cost two</t>
  </si>
  <si>
    <t>ways: a duplicated production footprint (an extra cluster, load balancers, NAT, and WAF) and a price premium</t>
  </si>
  <si>
    <t>on the traffic served there. Dev and stage stay in Ohio. Start months and premiums are editable on the</t>
  </si>
  <si>
    <t>Assumptions tab.</t>
  </si>
  <si>
    <t>Region</t>
  </si>
  <si>
    <t>Role</t>
  </si>
  <si>
    <t>Live from</t>
  </si>
  <si>
    <t>Premium vs Ohio</t>
  </si>
  <si>
    <t>us-east-2 (Ohio)</t>
  </si>
  <si>
    <t>Primary</t>
  </si>
  <si>
    <t>Month 1 (launch)</t>
  </si>
  <si>
    <t>baseline</t>
  </si>
  <si>
    <t>eu-west-2 (London)</t>
  </si>
  <si>
    <t>European expansion</t>
  </si>
  <si>
    <t>Year 2 (month 13)</t>
  </si>
  <si>
    <t>~8%</t>
  </si>
  <si>
    <t>ap-southeast-1 (Singapore)</t>
  </si>
  <si>
    <t>Asian market</t>
  </si>
  <si>
    <t>Year 2.5 (month 25)</t>
  </si>
  <si>
    <t>~18%</t>
  </si>
  <si>
    <t>Premiums follow AWS regional pricing: London a few points above Ohio, Asia Pacific roughly 20-30% on compute</t>
  </si>
  <si>
    <t>and higher on egress. Only the share of traffic in a region carries its premium, so the blended effect on</t>
  </si>
  <si>
    <t>total cost is a few percent, not the headline premium. The research data lake stays in Ohio and is not</t>
  </si>
  <si>
    <t>uplifted.</t>
  </si>
  <si>
    <t>Scribl D2C  -  2.5-Year Infrastructure TCO</t>
  </si>
  <si>
    <t>List-price cost, no partner discounts. Two views: monthly run rate (how cost scales) and cumulative spend (what you budget).</t>
  </si>
  <si>
    <t>Monthly run rate by pillar ($/mo)</t>
  </si>
  <si>
    <t>Year 1
avg/mo</t>
  </si>
  <si>
    <t>Year 2
avg/mo</t>
  </si>
  <si>
    <t>Yr3 H1
avg/mo</t>
  </si>
  <si>
    <t>At scale
(M30)</t>
  </si>
  <si>
    <t>Compute (EKS)</t>
  </si>
  <si>
    <t>Security (Cognito, WAF)</t>
  </si>
  <si>
    <t>Networking (ALB, transfer)</t>
  </si>
  <si>
    <t>Database (DynamoDB, Aurora)</t>
  </si>
  <si>
    <t>Storage (S3)</t>
  </si>
  <si>
    <t>AI App (Bedrock + Claude)</t>
  </si>
  <si>
    <t>Total run rate ($/mo)</t>
  </si>
  <si>
    <t>Cumulative spend ($)</t>
  </si>
  <si>
    <t>Year 1
(12 mo)</t>
  </si>
  <si>
    <t>Year 2
(12 mo)</t>
  </si>
  <si>
    <t>Yr3 H1
(6 mo)</t>
  </si>
  <si>
    <t>30-mo
total</t>
  </si>
  <si>
    <t>Total cost (TCO)</t>
  </si>
  <si>
    <t>Unit economics</t>
  </si>
  <si>
    <t>Registered users at period end</t>
  </si>
  <si>
    <t>Cost per registered user (period)</t>
  </si>
  <si>
    <t>Submissions in period</t>
  </si>
  <si>
    <t>Cost per submission</t>
  </si>
  <si>
    <t>Headline</t>
  </si>
  <si>
    <t>30-month TCO</t>
  </si>
  <si>
    <t>AI App as % of TCO</t>
  </si>
  <si>
    <t>Run rate at launch (M1) / at scale (M30)</t>
  </si>
  <si>
    <t>Scribl D2C  |  Infrastructure TCO  |  Assumptions</t>
  </si>
  <si>
    <t>All blue cells are editable inputs. Every cost on the Costs tab is driven from here. 30-month horizon (Oct 2026 - Mar 2029).</t>
  </si>
  <si>
    <t>Engagement</t>
  </si>
  <si>
    <t>DAU as % of registered users</t>
  </si>
  <si>
    <t>Mature daily-habit apps run 20-30%. Largest single swing factor.</t>
  </si>
  <si>
    <t>MAU as % of registered users</t>
  </si>
  <si>
    <t>Drives Cognito monthly-active billing.</t>
  </si>
  <si>
    <t>Prompt completion rate (of DAU)</t>
  </si>
  <si>
    <t>PRFAQ target &gt;=70%. Each completion = 1 submission + AI calls.</t>
  </si>
  <si>
    <t>Environments  (dev, stage, prod)</t>
  </si>
  <si>
    <t>Number of environments</t>
  </si>
  <si>
    <t>dev, stage, prod. Baselines apply to all; only prod scales with users.</t>
  </si>
  <si>
    <t>Non-prod size vs prod baseline</t>
  </si>
  <si>
    <t>Each non-prod env at this fraction of prod's baseline.</t>
  </si>
  <si>
    <t>Submission mix  (should sum to 100%)</t>
  </si>
  <si>
    <t>Drawing share of submissions</t>
  </si>
  <si>
    <t>Only drawings trigger the Sonnet vision response.</t>
  </si>
  <si>
    <t>Text share of submissions</t>
  </si>
  <si>
    <t>Voice share of submissions</t>
  </si>
  <si>
    <t>Voice transcribed on-device; no audio sent to Claude.</t>
  </si>
  <si>
    <t>Object sizes &amp; media traffic</t>
  </si>
  <si>
    <t>Avg drawing object size (KB)</t>
  </si>
  <si>
    <t>PNG from finger-on-glass canvas.</t>
  </si>
  <si>
    <t>Avg voice object size (KB)</t>
  </si>
  <si>
    <t>~30s clip.</t>
  </si>
  <si>
    <t>Avg text object size (KB)</t>
  </si>
  <si>
    <t>Avg served object size (KB)</t>
  </si>
  <si>
    <t>Blended size streamed when viewing channels.</t>
  </si>
  <si>
    <t>Media views per DAU per day</t>
  </si>
  <si>
    <t>Channel browsing after submit-to-unlock. Drives egress.</t>
  </si>
  <si>
    <t>Request volume</t>
  </si>
  <si>
    <t>API requests per DAU per day</t>
  </si>
  <si>
    <t>Drives WAF + ALB request charges.</t>
  </si>
  <si>
    <t>S3 GET requests per DAU per day</t>
  </si>
  <si>
    <t>AI - token counts per call</t>
  </si>
  <si>
    <t>Moderation input tokens</t>
  </si>
  <si>
    <t>Haiku on every submission (text + image checks).</t>
  </si>
  <si>
    <t>Moderation output tokens</t>
  </si>
  <si>
    <t>Vision response input tokens</t>
  </si>
  <si>
    <t>Image (~1.6k) + prompt context. Sonnet, per drawing.</t>
  </si>
  <si>
    <t>Vision response output tokens</t>
  </si>
  <si>
    <t>Prompt-gen calls per day (universal)</t>
  </si>
  <si>
    <t>ONE prompt for everyone + editorial A/B buffer. Opus.</t>
  </si>
  <si>
    <t>Prompt-gen input tokens</t>
  </si>
  <si>
    <t>Prompt-gen output tokens</t>
  </si>
  <si>
    <t>AI - Bedrock/Claude pricing  ($ / million tokens)</t>
  </si>
  <si>
    <t>Haiku 4.5 input</t>
  </si>
  <si>
    <t>Source: Anthropic pricing, Jun 2026.</t>
  </si>
  <si>
    <t>Haiku 4.5 output</t>
  </si>
  <si>
    <t>Sonnet 4.6 input</t>
  </si>
  <si>
    <t>Sonnet 4.6 output</t>
  </si>
  <si>
    <t>Opus 4.8 input</t>
  </si>
  <si>
    <t>Opus 4.8 output</t>
  </si>
  <si>
    <t>Prompt-caching discount on input</t>
  </si>
  <si>
    <t>Applies to MODERATION only (real-time path); stable policy prompt cached. Image tokens are not cacheable.</t>
  </si>
  <si>
    <t>Batch discount on vision calls</t>
  </si>
  <si>
    <t>Vision runs async (submit never blocks) -&gt; Bedrock batch, 50% off. Batch path excludes prompt caching, so C39 does not apply to vision.</t>
  </si>
  <si>
    <t>Bedrock price adjustment vs API</t>
  </si>
  <si>
    <t>Set if Bedrock token rates differ from first-party.</t>
  </si>
  <si>
    <t>Compute - Amazon EKS</t>
  </si>
  <si>
    <t>Control-plane $ per hour</t>
  </si>
  <si>
    <t>DAU served per worker node</t>
  </si>
  <si>
    <t>Prod baseline worker nodes</t>
  </si>
  <si>
    <t>HA prod floor; nodes scale with DAU above this.</t>
  </si>
  <si>
    <t>Worker node $ per hour (m5.xlarge)</t>
  </si>
  <si>
    <t>Source: EC2 m5.xlarge us-east-2 = $140.16/mo, Jun 2026.</t>
  </si>
  <si>
    <t>Compute Savings Plan discount</t>
  </si>
  <si>
    <t>1-yr commitment on steady-state nodes.</t>
  </si>
  <si>
    <t>Observability - CloudWatch prod floor $/mo</t>
  </si>
  <si>
    <t>Dashboards, alarms, Container Insights, base log retention. Traffic-driven log/metric/trace volume is the variable line below.</t>
  </si>
  <si>
    <t>Observability CloudWatch/X-Ray $ per million API requests</t>
  </si>
  <si>
    <t>Logs + metrics + sampled traces; scales with traffic.</t>
  </si>
  <si>
    <t>Platform/mgmt baseline $/mo (prod)</t>
  </si>
  <si>
    <t>ECR, Secrets, KMS, CI runners, bastion.</t>
  </si>
  <si>
    <t>Reserved/standby capacity $/mo (prod)</t>
  </si>
  <si>
    <t>Explicit launch-readiness + DR headroom. Set 0 for pure demand-driven floor.</t>
  </si>
  <si>
    <t>Security - Cognito + WAF</t>
  </si>
  <si>
    <t>Cognito free MAU</t>
  </si>
  <si>
    <t>Cognito $/MAU  tier 50k-100k</t>
  </si>
  <si>
    <t>AWS standard volume tiers.</t>
  </si>
  <si>
    <t>Cognito $/MAU  tier 100k-1M</t>
  </si>
  <si>
    <t>Cognito $/MAU  tier 1M-10M</t>
  </si>
  <si>
    <t>Cognito $/MAU  tier 10M+</t>
  </si>
  <si>
    <t>WAF base $ per month (ACL + rules)</t>
  </si>
  <si>
    <t>WAF $ per million requests</t>
  </si>
  <si>
    <t>Networking - ALB + data transfer</t>
  </si>
  <si>
    <t>ALB count</t>
  </si>
  <si>
    <t>ALB $ per hour</t>
  </si>
  <si>
    <t>ALB LCU $ per million requests</t>
  </si>
  <si>
    <t>Approximates LCU charge from request volume.</t>
  </si>
  <si>
    <t>Data transfer out $ per GB (blended)</t>
  </si>
  <si>
    <t>us-east-2 egress + CloudFront, blended across volume tiers.</t>
  </si>
  <si>
    <t>NAT gateways per env per region</t>
  </si>
  <si>
    <t>NAT gateway $ per hour</t>
  </si>
  <si>
    <t>$32.85/mo each; media egress does not route through NAT.</t>
  </si>
  <si>
    <t>Database - Aurora Serverless v2</t>
  </si>
  <si>
    <t>DAU served per ACU</t>
  </si>
  <si>
    <t>Prod baseline ACUs</t>
  </si>
  <si>
    <t>HA prod floor.</t>
  </si>
  <si>
    <t>Non-prod ACUs per env (idle)</t>
  </si>
  <si>
    <t>Serverless v2 scales dev/stage to a low idle floor.</t>
  </si>
  <si>
    <t>ACU $ per hour</t>
  </si>
  <si>
    <t>Aurora Serverless v2, us-east-2.</t>
  </si>
  <si>
    <t>Aurora storage $ per GB-month</t>
  </si>
  <si>
    <t>Aurora GB per 1,000 registered</t>
  </si>
  <si>
    <t>Relational metadata: profiles, channels, memberships, streaks.</t>
  </si>
  <si>
    <t>Database - DynamoDB (on-demand)</t>
  </si>
  <si>
    <t>Write request units per submission</t>
  </si>
  <si>
    <t>Submission + channel fan-out + streak + index.</t>
  </si>
  <si>
    <t>Read request units per DAU per day</t>
  </si>
  <si>
    <t>DynamoDB $ per million WRU</t>
  </si>
  <si>
    <t>DynamoDB $ per million RRU</t>
  </si>
  <si>
    <t>DynamoDB storage $ per GB-month</t>
  </si>
  <si>
    <t>DynamoDB GB per 1,000 registered</t>
  </si>
  <si>
    <t>ElastiCache baseline $/mo (prod)</t>
  </si>
  <si>
    <t>Redis, multi-node HA.</t>
  </si>
  <si>
    <t>OpenSearch baseline $/mo (prod)</t>
  </si>
  <si>
    <t>Content/user search + log analytics.</t>
  </si>
  <si>
    <t>Storage - Amazon S3</t>
  </si>
  <si>
    <t>Effective S3 $ per GB-month</t>
  </si>
  <si>
    <t>us-east-2 Standard $0.023 blended with lifecycle tiering of aged media.</t>
  </si>
  <si>
    <t>S3 PUT $ per 1,000 requests</t>
  </si>
  <si>
    <t>S3 GET $ per 1,000 requests</t>
  </si>
  <si>
    <t>Data Lake / ML Research  (mental-health outcomes)</t>
  </si>
  <si>
    <t>Start month (1-30)</t>
  </si>
  <si>
    <t>Research workstream kicks in after Year 1.</t>
  </si>
  <si>
    <t>Lake storage GB per 1,000 registered</t>
  </si>
  <si>
    <t>De-identified curated + derived + research datasets.</t>
  </si>
  <si>
    <t>Lake storage $ per GB-month</t>
  </si>
  <si>
    <t>Glue/ETL $ per million submissions</t>
  </si>
  <si>
    <t>De-identification + curation pipeline.</t>
  </si>
  <si>
    <t>ETL base $ per month</t>
  </si>
  <si>
    <t>Athena $ per TB scanned</t>
  </si>
  <si>
    <t>TB scanned per researcher per month</t>
  </si>
  <si>
    <t>SageMaker notebook $ per researcher/mo</t>
  </si>
  <si>
    <t>Training GPU $ per hour (ml.g5.2xlarge)</t>
  </si>
  <si>
    <t>Training GPU hours per researcher/mo</t>
  </si>
  <si>
    <t>Research data-sharing egress GB/mo</t>
  </si>
  <si>
    <t>Published/shared datasets for outside researchers.</t>
  </si>
  <si>
    <t>London (eu-west-2) start month</t>
  </si>
  <si>
    <t>European expansion. Year 2.</t>
  </si>
  <si>
    <t>Singapore (ap-southeast-1) start month</t>
  </si>
  <si>
    <t>Asian market. Year 2.5.</t>
  </si>
  <si>
    <t>London price premium vs us-east-2</t>
  </si>
  <si>
    <t>eu-west-2 runs a few points above Ohio.</t>
  </si>
  <si>
    <t>Singapore price premium vs us-east-2</t>
  </si>
  <si>
    <t>ap-southeast-1: compute +20-30%, egress higher.</t>
  </si>
  <si>
    <t>Traffic share in London once live</t>
  </si>
  <si>
    <t>Traffic share in Singapore once live</t>
  </si>
  <si>
    <t>Observability platform  (added)</t>
  </si>
  <si>
    <t>Managed Prometheus prod floor $/mo</t>
  </si>
  <si>
    <t>AMP ingestion + storage floor for the prod cluster; sample-volume growth is the per-request line below.</t>
  </si>
  <si>
    <t>Managed Prometheus $ per million API requests</t>
  </si>
  <si>
    <t>AMP sample/series volume tracks workload; proxied off API traffic.</t>
  </si>
  <si>
    <t>Amazon Managed Grafana $/mo (workspace, per-seat)</t>
  </si>
  <si>
    <t>~5 editors @ $9 + ~15 viewers @ $5; one shared workspace, flat across regions.</t>
  </si>
  <si>
    <t>Non-prod observability factor (dev+stage vs prod)</t>
  </si>
  <si>
    <t>Dev and stage run light observability (~20% of prod), not the 50%-per-env weight applied to compute.</t>
  </si>
  <si>
    <t>Volume Drivers</t>
  </si>
  <si>
    <t>Registered-user curve and research headcount are blue inputs; everything else is derived.</t>
  </si>
  <si>
    <t>Month #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</si>
  <si>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</si>
  <si>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</si>
  <si>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</si>
  <si>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</si>
  <si>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</si>
  <si>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</si>
  <si>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</si>
  <si>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</si>
  <si>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</si>
  <si>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</si>
  <si>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</si>
  <si>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</si>
  <si>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</si>
  <si>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</si>
  <si>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</si>
  <si>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</si>
  <si>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</si>
  <si>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</si>
  <si>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</si>
  <si>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</si>
  <si>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</si>
  <si>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</si>
  <si>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</si>
  <si>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</si>
  <si>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</si>
  <si>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</si>
  <si>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</si>
  <si>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</si>
  <si>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</si>
  <si>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</si>
  <si>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Calendar</t>
  </si>
  <si>
    <t>Registered users</t>
  </si>
  <si>
    <t>Daily active users (DAU)</t>
  </si>
  <si>
    <t>Monthly active users (MAU)</t>
  </si>
  <si>
    <t>Submissions per day</t>
  </si>
  <si>
    <t>Submissions per month</t>
  </si>
  <si>
    <t xml:space="preserve">  Drawing submissions / mo</t>
  </si>
  <si>
    <t xml:space="preserve">  Text submissions / mo</t>
  </si>
  <si>
    <t xml:space="preserve">  Voice submissions / mo</t>
  </si>
  <si>
    <t>Storage added (GB)</t>
  </si>
  <si>
    <t>Storage cumulative (GB)</t>
  </si>
  <si>
    <t>Media egress (GB / mo)</t>
  </si>
  <si>
    <t>API requests (millions / mo)</t>
  </si>
  <si>
    <t>Research data scientists (FTE)</t>
  </si>
  <si>
    <t>Training GPU hours / mo</t>
  </si>
  <si>
    <t>Active AWS regions</t>
  </si>
  <si>
    <t>Regional price multiplier</t>
  </si>
  <si>
    <t>Environment weight</t>
  </si>
  <si>
    <t>Env-region deployments (clusters)</t>
  </si>
  <si>
    <t>Monthly Cost Build ($)</t>
  </si>
  <si>
    <t>Black = calculation. Subtotals by consumption pillar. Figures are list price (no partner discounts).</t>
  </si>
  <si>
    <t>Month</t>
  </si>
  <si>
    <t>COMPUTE  -  Amazon EKS</t>
  </si>
  <si>
    <t>EKS control plane (per env, per region)</t>
  </si>
  <si>
    <t>EKS worker nodes (prod scales; dev/stage baseline)</t>
  </si>
  <si>
    <t>Observability (CloudWatch, Prometheus, Grafana, X-Ray; all envs)</t>
  </si>
  <si>
    <t>Platform/management baseline (all envs)</t>
  </si>
  <si>
    <t>Reserved/standby capacity (launch readiness + DR)</t>
  </si>
  <si>
    <t>Compute subtotal</t>
  </si>
  <si>
    <t>SECURITY  -  Cognito + WAF</t>
  </si>
  <si>
    <t>Cognito (monthly active users, tiered)</t>
  </si>
  <si>
    <t>WAF (ACL per env + request inspection)</t>
  </si>
  <si>
    <t>Security subtotal</t>
  </si>
  <si>
    <t>NETWORKING  -  ALB + data transfer</t>
  </si>
  <si>
    <t>ALB (per env, per region)</t>
  </si>
  <si>
    <t>NAT gateways (per env, per region)</t>
  </si>
  <si>
    <t>ALB LCU (request volume)</t>
  </si>
  <si>
    <t>Data transfer out</t>
  </si>
  <si>
    <t>Networking subtotal</t>
  </si>
  <si>
    <t>DATABASE  -  DynamoDB + Aurora</t>
  </si>
  <si>
    <t>Aurora compute (prod scales; dev/stage baseline)</t>
  </si>
  <si>
    <t>Aurora storage</t>
  </si>
  <si>
    <t>ElastiCache (Redis, all envs)</t>
  </si>
  <si>
    <t>OpenSearch (search + logs, all envs)</t>
  </si>
  <si>
    <t>DynamoDB writes</t>
  </si>
  <si>
    <t>DynamoDB reads</t>
  </si>
  <si>
    <t>DynamoDB storage</t>
  </si>
  <si>
    <t>Database subtotal</t>
  </si>
  <si>
    <t>STORAGE  -  Amazon S3</t>
  </si>
  <si>
    <t>S3 storage (cumulative media)</t>
  </si>
  <si>
    <t>S3 requests (PUT + GET)</t>
  </si>
  <si>
    <t>Storage subtotal</t>
  </si>
  <si>
    <t>AI APP  -  Bedrock + Claude</t>
  </si>
  <si>
    <t>Moderation  (Haiku, every submission)</t>
  </si>
  <si>
    <t>Vision response  (Sonnet, per drawing)</t>
  </si>
  <si>
    <t>Daily prompt generation  (Opus, universal)</t>
  </si>
  <si>
    <t>AI App subtotal</t>
  </si>
  <si>
    <t>DATA LAKE / ML RESEARCH  (starts after Year 1)</t>
  </si>
  <si>
    <t>Lake storage (de-identified datasets)</t>
  </si>
  <si>
    <t>Glue / ETL (de-identification + curation)</t>
  </si>
  <si>
    <t>Athena (research queries)</t>
  </si>
  <si>
    <t>SageMaker notebooks (researchers)</t>
  </si>
  <si>
    <t>SageMaker training (GPU)</t>
  </si>
  <si>
    <t>Research data-sharing egress</t>
  </si>
  <si>
    <t>Data Lake / ML subtotal</t>
  </si>
  <si>
    <t>TOTAL MONTHLY COST</t>
  </si>
  <si>
    <t>Cumulative cost (TCO)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</si>
</sst>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;&quot;($&quot;#,##0\);\-"/>
    <numFmt numFmtId="165" formatCode="#,##0;\(#,##0\);\-"/>
    <numFmt numFmtId="166" formatCode="\$#,##0.00;&quot;($&quot;#,##0.00\);\-"/>
    <numFmt numFmtId="167" formatCode="\$#,##0.0000"/>
    <numFmt numFmtId="168" formatCode="0.0%"/>
    <numFmt numFmtId="169" formatCode="#,##0.0;\(#,##0.0\);\-"/>
    <numFmt numFmtId="170" formatCode="0.000"/>
  </numFmts>
  <fonts count="12">
    <font>
      <sz val="11"/>
      <color theme="1"/>
      <name val="Calibri"/>
      <family val="2"/>
      <charset val="1"/>
    </font>
    <font>
      <b/>
      <sz val="16"/>
      <color rgb="FF1A1F2E"/>
      <name val="Arial"/>
      <charset val="1"/>
    </font>
    <font>
      <b/>
      <sz val="11"/>
      <color rgb="FF693AF4"/>
      <name val="Arial"/>
      <charset val="1"/>
    </font>
    <font>
      <sz val="10"/>
      <color rgb="FF2D3344"/>
      <name val="Arial"/>
      <charset val="1"/>
    </font>
    <font>
      <b/>
      <sz val="10"/>
      <color rgb="FF1A1F2E"/>
      <name val="Arial"/>
      <charset val="1"/>
    </font>
    <font>
      <b/>
      <sz val="10"/>
      <color rgb="FFFFFFFF"/>
      <name val="Arial"/>
      <charset val="1"/>
    </font>
    <font>
      <i/>
      <sz val="10"/>
      <color rgb="FF636B82"/>
      <name val="Arial"/>
      <charset val="1"/>
    </font>
    <font>
      <sz val="10"/>
      <color rgb="FF000000"/>
      <name val="Arial"/>
      <charset val="1"/>
    </font>
    <font>
      <sz val="10"/>
      <color rgb="FF008000"/>
      <name val="Arial"/>
      <charset val="1"/>
    </font>
    <font>
      <b/>
      <sz val="10"/>
      <color rgb="FF000000"/>
      <name val="Arial"/>
      <charset val="1"/>
    </font>
    <font>
      <b/>
      <sz val="12"/>
      <color rgb="FF693AF4"/>
      <name val="Arial"/>
      <charset val="1"/>
    </font>
    <font>
      <sz val="10"/>
      <color rgb="FF0000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693AF4"/>
        <bgColor rgb="FF3366FF"/>
      </patternFill>
    </fill>
    <fill>
      <patternFill patternType="solid">
        <fgColor rgb="FFE7DCFB"/>
        <bgColor rgb="FFD5D9E4"/>
      </patternFill>
    </fill>
    <fill>
      <patternFill patternType="solid">
        <fgColor rgb="FF2D3344"/>
        <bgColor rgb="FF1A1F2E"/>
      </patternFill>
    </fill>
    <fill>
      <patternFill patternType="solid">
        <fgColor rgb="FFFFF3BF"/>
        <bgColor rgb="FFFFFF99"/>
      </patternFill>
    </fill>
    <fill>
      <patternFill patternType="solid">
        <fgColor rgb="FFEAECF2"/>
        <bgColor rgb="FFE7DCFB"/>
      </patternFill>
    </fill>
  </fills>
  <borders count="2">
    <border>
      <left/>
      <right/>
      <top/>
      <bottom/>
      <diagonal/>
    </border>
    <border>
      <left style="thin">
        <color rgb="FFD5D9E4"/>
      </left>
      <right style="thin">
        <color rgb="FFD5D9E4"/>
      </right>
      <top style="thin">
        <color rgb="FFD5D9E4"/>
      </top>
      <bottom style="thin">
        <color rgb="FFD5D9E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/>
    <xf numFmtId="0" fontId="5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0" xfId="0" applyFont="1"/>
    <xf numFmtId="0" fontId="5" fillId="2" borderId="0" xfId="0" applyFont="1" applyFill="1"/>
    <xf numFmtId="0" fontId="5" fillId="2" borderId="0" xfId="0" applyFont="1" applyFill="1" applyAlignment="1">
      <alignment horizontal="center" wrapText="1"/>
    </xf>
    <xf numFmtId="0" fontId="7" fillId="0" borderId="0" xfId="0" applyFont="1"/>
    <xf numFmtId="164" fontId="8" fillId="0" borderId="0" xfId="0" applyNumberFormat="1" applyFont="1"/>
    <xf numFmtId="0" fontId="9" fillId="3" borderId="0" xfId="0" applyFont="1" applyFill="1"/>
    <xf numFmtId="164" fontId="9" fillId="3" borderId="0" xfId="0" applyNumberFormat="1" applyFont="1" applyFill="1"/>
    <xf numFmtId="0" fontId="5" fillId="4" borderId="0" xfId="0" applyFont="1" applyFill="1"/>
    <xf numFmtId="0" fontId="0" fillId="4" borderId="0" xfId="0" applyFill="1"/>
    <xf numFmtId="165" fontId="8" fillId="0" borderId="0" xfId="0" applyNumberFormat="1" applyFont="1"/>
    <xf numFmtId="166" fontId="7" fillId="0" borderId="0" xfId="0" applyNumberFormat="1" applyFont="1"/>
    <xf numFmtId="165" fontId="7" fillId="0" borderId="0" xfId="0" applyNumberFormat="1" applyFont="1"/>
    <xf numFmtId="167" fontId="7" fillId="0" borderId="0" xfId="0" applyNumberFormat="1" applyFont="1"/>
    <xf numFmtId="0" fontId="9" fillId="0" borderId="0" xfId="0" applyFont="1"/>
    <xf numFmtId="164" fontId="10" fillId="0" borderId="0" xfId="0" applyNumberFormat="1" applyFont="1"/>
    <xf numFmtId="168" fontId="7" fillId="0" borderId="0" xfId="0" applyNumberFormat="1" applyFont="1"/>
    <xf numFmtId="164" fontId="7" fillId="0" borderId="0" xfId="0" applyNumberFormat="1" applyFont="1"/>
    <xf numFmtId="168" fontId="11" fillId="5" borderId="1" xfId="0" applyNumberFormat="1" applyFont="1" applyFill="1" applyBorder="1"/>
    <xf numFmtId="168" fontId="11" fillId="0" borderId="1" xfId="0" applyNumberFormat="1" applyFont="1" applyBorder="1"/>
    <xf numFmtId="165" fontId="11" fillId="5" borderId="1" xfId="0" applyNumberFormat="1" applyFont="1" applyFill="1" applyBorder="1"/>
    <xf numFmtId="165" fontId="11" fillId="0" borderId="1" xfId="0" applyNumberFormat="1" applyFont="1" applyBorder="1"/>
    <xf numFmtId="166" fontId="11" fillId="0" borderId="1" xfId="0" applyNumberFormat="1" applyFont="1" applyBorder="1"/>
    <xf numFmtId="164" fontId="11" fillId="0" borderId="1" xfId="0" applyNumberFormat="1" applyFont="1" applyBorder="1"/>
    <xf numFmtId="164" fontId="11" fillId="5" borderId="1" xfId="0" applyNumberFormat="1" applyFont="1" applyFill="1" applyBorder="1"/>
    <xf numFmtId="169" fontId="11" fillId="0" borderId="1" xfId="0" applyNumberFormat="1" applyFont="1" applyBorder="1"/>
    <xf numFmtId="164" fontId="11" fillId="0" borderId="0" xfId="0" applyNumberFormat="1" applyFont="1"/>
    <xf numFmtId="166" fontId="11" fillId="0" borderId="0" xfId="0" applyNumberFormat="1" applyFont="1"/>
    <xf numFmtId="9" fontId="11" fillId="0" borderId="0" xfId="0" applyNumberFormat="1" applyFont="1"/>
    <xf numFmtId="0" fontId="5" fillId="2" borderId="0" xfId="0" applyFont="1" applyFill="1" applyAlignment="1">
      <alignment horizontal="center"/>
    </xf>
    <xf numFmtId="17" fontId="6" fillId="0" borderId="0" xfId="0" applyNumberFormat="1" applyFont="1" applyAlignment="1">
      <alignment horizontal="center"/>
    </xf>
    <xf numFmtId="169" fontId="7" fillId="0" borderId="0" xfId="0" applyNumberFormat="1" applyFont="1"/>
    <xf numFmtId="170" fontId="7" fillId="0" borderId="0" xfId="0" applyNumberFormat="1" applyFont="1"/>
    <xf numFmtId="2" fontId="7" fillId="0" borderId="0" xfId="0" applyNumberFormat="1" applyFont="1"/>
    <xf numFmtId="0" fontId="9" fillId="6" borderId="0" xfId="0" applyFont="1" applyFill="1"/>
    <xf numFmtId="164" fontId="9" fillId="6" borderId="0" xfId="0" applyNumberFormat="1" applyFont="1" applyFill="1"/>
    <xf numFmtId="164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BF"/>
      <rgbColor rgb="FFEAECF2"/>
      <rgbColor rgb="FF660066"/>
      <rgbColor rgb="FFFF8080"/>
      <rgbColor rgb="FF0066CC"/>
      <rgbColor rgb="FFD5D9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DCF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36B82"/>
      <rgbColor rgb="FF969696"/>
      <rgbColor rgb="FF003366"/>
      <rgbColor rgb="FF339966"/>
      <rgbColor rgb="FF003300"/>
      <rgbColor rgb="FF1A1F2E"/>
      <rgbColor rgb="FF993300"/>
      <rgbColor rgb="FF993366"/>
      <rgbColor rgb="FF693AF4"/>
      <rgbColor rgb="FF2D33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84"/>
  <sheetViews>
    <sheetView showGridLines="0" tabSelected="1" zoomScaleNormal="100" workbookViewId="0"/>
  </sheetViews>
  <sheetFormatPr defaultColWidth="8.7109375" defaultRowHeight="15"/>
  <cols>
    <col min="1" max="1" width="2" customWidth="1"/>
    <col min="2" max="2" width="46" customWidth="1"/>
    <col min="3" max="3" width="18" customWidth="1"/>
    <col min="4" max="4" width="26" customWidth="1"/>
    <col min="5" max="5" width="18" customWidth="1"/>
    <col min="6" max="6" width="14" customWidth="1"/>
  </cols>
  <sheetData>
    <row r="1" spans="2:2" ht="19.5" customHeight="1">
      <c r="B1" s="1" t="s">
        <v>0</v>
      </c>
    </row>
    <row r="3" spans="2:2" ht="15" customHeight="1">
      <c r="B3" s="2" t="s">
        <v>1</v>
      </c>
    </row>
    <row r="4" spans="2:2" ht="15" customHeight="1">
      <c r="B4" s="3" t="s">
        <v>2</v>
      </c>
    </row>
    <row r="5" spans="2:2" ht="15" customHeight="1">
      <c r="B5" s="3" t="s">
        <v>3</v>
      </c>
    </row>
    <row r="6" spans="2:2" ht="15" customHeight="1">
      <c r="B6" s="3" t="s">
        <v>4</v>
      </c>
    </row>
    <row r="7" spans="2:2" ht="15" customHeight="1">
      <c r="B7" s="3" t="s">
        <v>5</v>
      </c>
    </row>
    <row r="8" spans="2:2" ht="15" customHeight="1">
      <c r="B8" s="3" t="s">
        <v>6</v>
      </c>
    </row>
    <row r="10" spans="2:2" ht="15" customHeight="1">
      <c r="B10" s="2" t="s">
        <v>7</v>
      </c>
    </row>
    <row r="11" spans="2:2" ht="15" customHeight="1">
      <c r="B11" s="3" t="s">
        <v>8</v>
      </c>
    </row>
    <row r="12" spans="2:2" ht="15" customHeight="1">
      <c r="B12" s="3" t="s">
        <v>9</v>
      </c>
    </row>
    <row r="13" spans="2:2" ht="15" customHeight="1">
      <c r="B13" s="3" t="s">
        <v>10</v>
      </c>
    </row>
    <row r="14" spans="2:2" ht="15" customHeight="1">
      <c r="B14" s="3" t="s">
        <v>11</v>
      </c>
    </row>
    <row r="15" spans="2:2" ht="15" customHeight="1">
      <c r="B15" s="3" t="s">
        <v>12</v>
      </c>
    </row>
    <row r="17" spans="2:6" ht="15" customHeight="1">
      <c r="B17" s="4" t="s">
        <v>13</v>
      </c>
    </row>
    <row r="18" spans="2:6" ht="15" customHeight="1">
      <c r="B18" s="3" t="s">
        <v>14</v>
      </c>
    </row>
    <row r="19" spans="2:6" ht="15" customHeight="1">
      <c r="B19" s="3" t="s">
        <v>15</v>
      </c>
    </row>
    <row r="20" spans="2:6" ht="15" customHeight="1">
      <c r="B20" s="3" t="s">
        <v>16</v>
      </c>
    </row>
    <row r="21" spans="2:6" ht="27.75" customHeight="1">
      <c r="B21" s="5" t="s">
        <v>17</v>
      </c>
      <c r="C21" s="5" t="s">
        <v>18</v>
      </c>
      <c r="D21" s="5" t="s">
        <v>19</v>
      </c>
      <c r="E21" s="5" t="s">
        <v>20</v>
      </c>
      <c r="F21" s="5" t="s">
        <v>21</v>
      </c>
    </row>
    <row r="22" spans="2:6" ht="30" customHeight="1">
      <c r="B22" s="6" t="s">
        <v>22</v>
      </c>
      <c r="C22" s="6" t="s">
        <v>23</v>
      </c>
      <c r="D22" s="6" t="s">
        <v>24</v>
      </c>
      <c r="E22" s="6" t="s">
        <v>25</v>
      </c>
      <c r="F22" s="6" t="s">
        <v>26</v>
      </c>
    </row>
    <row r="23" spans="2:6" ht="30" customHeight="1">
      <c r="B23" s="6" t="s">
        <v>27</v>
      </c>
      <c r="C23" s="6" t="s">
        <v>28</v>
      </c>
      <c r="D23" s="6" t="s">
        <v>29</v>
      </c>
      <c r="E23" s="6" t="s">
        <v>30</v>
      </c>
      <c r="F23" s="6" t="s">
        <v>31</v>
      </c>
    </row>
    <row r="24" spans="2:6" ht="30" customHeight="1">
      <c r="B24" s="6" t="s">
        <v>32</v>
      </c>
      <c r="C24" s="6" t="s">
        <v>33</v>
      </c>
      <c r="D24" s="6" t="s">
        <v>34</v>
      </c>
      <c r="E24" s="6" t="s">
        <v>35</v>
      </c>
      <c r="F24" s="6" t="s">
        <v>36</v>
      </c>
    </row>
    <row r="25" spans="2:6" ht="30" customHeight="1">
      <c r="B25" s="7" t="s">
        <v>37</v>
      </c>
      <c r="C25" s="7" t="s">
        <v>38</v>
      </c>
      <c r="D25" s="7" t="s">
        <v>39</v>
      </c>
      <c r="E25" s="7" t="s">
        <v>40</v>
      </c>
      <c r="F25" s="7" t="s">
        <v>40</v>
      </c>
    </row>
    <row r="26" spans="2:6" ht="30" customHeight="1">
      <c r="B26" s="7" t="s">
        <v>41</v>
      </c>
      <c r="C26" s="7" t="s">
        <v>42</v>
      </c>
      <c r="D26" s="7" t="s">
        <v>43</v>
      </c>
      <c r="E26" s="7" t="s">
        <v>40</v>
      </c>
      <c r="F26" s="7" t="s">
        <v>40</v>
      </c>
    </row>
    <row r="27" spans="2:6" ht="15" customHeight="1">
      <c r="B27" s="3" t="s">
        <v>44</v>
      </c>
    </row>
    <row r="28" spans="2:6" ht="15" customHeight="1">
      <c r="B28" s="3" t="s">
        <v>45</v>
      </c>
    </row>
    <row r="30" spans="2:6" ht="15" customHeight="1">
      <c r="B30" s="4" t="s">
        <v>46</v>
      </c>
    </row>
    <row r="31" spans="2:6" ht="15" customHeight="1">
      <c r="B31" s="3" t="s">
        <v>47</v>
      </c>
    </row>
    <row r="32" spans="2:6" ht="15" customHeight="1">
      <c r="B32" s="3" t="s">
        <v>48</v>
      </c>
    </row>
    <row r="33" spans="2:2" ht="15" customHeight="1">
      <c r="B33" s="3" t="s">
        <v>49</v>
      </c>
    </row>
    <row r="34" spans="2:2" ht="15" customHeight="1">
      <c r="B34" s="3" t="s">
        <v>50</v>
      </c>
    </row>
    <row r="35" spans="2:2" ht="15" customHeight="1">
      <c r="B35" s="3" t="s">
        <v>51</v>
      </c>
    </row>
    <row r="36" spans="2:2" ht="15" customHeight="1">
      <c r="B36" s="3" t="s">
        <v>52</v>
      </c>
    </row>
    <row r="37" spans="2:2" ht="15" customHeight="1">
      <c r="B37" s="3" t="s">
        <v>53</v>
      </c>
    </row>
    <row r="38" spans="2:2" ht="15" customHeight="1">
      <c r="B38" s="3" t="s">
        <v>54</v>
      </c>
    </row>
    <row r="40" spans="2:2" ht="15" customHeight="1">
      <c r="B40" s="4" t="s">
        <v>55</v>
      </c>
    </row>
    <row r="41" spans="2:2" ht="15" customHeight="1">
      <c r="B41" s="3" t="s">
        <v>56</v>
      </c>
    </row>
    <row r="42" spans="2:2" ht="15" customHeight="1">
      <c r="B42" s="3" t="s">
        <v>57</v>
      </c>
    </row>
    <row r="43" spans="2:2" ht="15" customHeight="1">
      <c r="B43" s="3" t="s">
        <v>58</v>
      </c>
    </row>
    <row r="44" spans="2:2" ht="15" customHeight="1">
      <c r="B44" s="3" t="s">
        <v>59</v>
      </c>
    </row>
    <row r="46" spans="2:2" ht="15" customHeight="1">
      <c r="B46" s="4" t="s">
        <v>60</v>
      </c>
    </row>
    <row r="47" spans="2:2" ht="15" customHeight="1">
      <c r="B47" s="3" t="s">
        <v>61</v>
      </c>
    </row>
    <row r="48" spans="2:2" ht="15" customHeight="1">
      <c r="B48" s="3" t="s">
        <v>62</v>
      </c>
    </row>
    <row r="49" spans="2:2" ht="15" customHeight="1">
      <c r="B49" s="3" t="s">
        <v>63</v>
      </c>
    </row>
    <row r="50" spans="2:2" ht="15" customHeight="1">
      <c r="B50" s="3" t="s">
        <v>64</v>
      </c>
    </row>
    <row r="52" spans="2:2" ht="15" customHeight="1">
      <c r="B52" s="4" t="s">
        <v>65</v>
      </c>
    </row>
    <row r="53" spans="2:2" ht="15" customHeight="1">
      <c r="B53" s="3" t="s">
        <v>66</v>
      </c>
    </row>
    <row r="54" spans="2:2" ht="15" customHeight="1">
      <c r="B54" s="3" t="s">
        <v>67</v>
      </c>
    </row>
    <row r="55" spans="2:2" ht="15" customHeight="1">
      <c r="B55" s="3" t="s">
        <v>68</v>
      </c>
    </row>
    <row r="56" spans="2:2" ht="15" customHeight="1">
      <c r="B56" s="3" t="s">
        <v>69</v>
      </c>
    </row>
    <row r="57" spans="2:2" ht="15" customHeight="1">
      <c r="B57" s="3" t="s">
        <v>70</v>
      </c>
    </row>
    <row r="59" spans="2:2" ht="15" customHeight="1">
      <c r="B59" s="4" t="s">
        <v>71</v>
      </c>
    </row>
    <row r="60" spans="2:2" ht="15" customHeight="1">
      <c r="B60" s="3" t="s">
        <v>72</v>
      </c>
    </row>
    <row r="61" spans="2:2" ht="15" customHeight="1">
      <c r="B61" s="3" t="s">
        <v>73</v>
      </c>
    </row>
    <row r="62" spans="2:2" ht="15" customHeight="1">
      <c r="B62" s="3" t="s">
        <v>74</v>
      </c>
    </row>
    <row r="63" spans="2:2" ht="15" customHeight="1">
      <c r="B63" s="3" t="s">
        <v>75</v>
      </c>
    </row>
    <row r="65" spans="2:5" ht="15" customHeight="1">
      <c r="B65" s="4" t="s">
        <v>76</v>
      </c>
    </row>
    <row r="66" spans="2:5" ht="15" customHeight="1">
      <c r="B66" s="3" t="s">
        <v>77</v>
      </c>
    </row>
    <row r="67" spans="2:5" ht="15" customHeight="1">
      <c r="B67" s="3" t="s">
        <v>78</v>
      </c>
    </row>
    <row r="68" spans="2:5" ht="15" customHeight="1">
      <c r="B68" s="3" t="s">
        <v>79</v>
      </c>
    </row>
    <row r="69" spans="2:5" ht="15" customHeight="1">
      <c r="B69" s="3" t="s">
        <v>80</v>
      </c>
    </row>
    <row r="70" spans="2:5" ht="15" customHeight="1">
      <c r="B70" s="3" t="s">
        <v>81</v>
      </c>
    </row>
    <row r="72" spans="2:5" ht="15" customHeight="1">
      <c r="B72" s="2" t="s">
        <v>82</v>
      </c>
    </row>
    <row r="73" spans="2:5" ht="15" customHeight="1">
      <c r="B73" s="3" t="s">
        <v>83</v>
      </c>
    </row>
    <row r="74" spans="2:5" ht="15" customHeight="1">
      <c r="B74" s="3" t="s">
        <v>84</v>
      </c>
    </row>
    <row r="75" spans="2:5" ht="15" customHeight="1">
      <c r="B75" s="3" t="s">
        <v>85</v>
      </c>
    </row>
    <row r="76" spans="2:5" ht="15" customHeight="1">
      <c r="B76" s="3" t="s">
        <v>86</v>
      </c>
    </row>
    <row r="77" spans="2:5" ht="27.75" customHeight="1">
      <c r="B77" s="5" t="s">
        <v>87</v>
      </c>
      <c r="C77" s="5" t="s">
        <v>88</v>
      </c>
      <c r="D77" s="5" t="s">
        <v>89</v>
      </c>
      <c r="E77" s="5" t="s">
        <v>90</v>
      </c>
    </row>
    <row r="78" spans="2:5" ht="30" customHeight="1">
      <c r="B78" s="6" t="s">
        <v>91</v>
      </c>
      <c r="C78" s="6" t="s">
        <v>92</v>
      </c>
      <c r="D78" s="6" t="s">
        <v>93</v>
      </c>
      <c r="E78" s="6" t="s">
        <v>94</v>
      </c>
    </row>
    <row r="79" spans="2:5" ht="30" customHeight="1">
      <c r="B79" s="6" t="s">
        <v>95</v>
      </c>
      <c r="C79" s="6" t="s">
        <v>96</v>
      </c>
      <c r="D79" s="6" t="s">
        <v>97</v>
      </c>
      <c r="E79" s="6" t="s">
        <v>98</v>
      </c>
    </row>
    <row r="80" spans="2:5" ht="30" customHeight="1">
      <c r="B80" s="6" t="s">
        <v>99</v>
      </c>
      <c r="C80" s="6" t="s">
        <v>100</v>
      </c>
      <c r="D80" s="6" t="s">
        <v>101</v>
      </c>
      <c r="E80" s="6" t="s">
        <v>102</v>
      </c>
    </row>
    <row r="81" spans="2:2" ht="15" customHeight="1">
      <c r="B81" s="3" t="s">
        <v>103</v>
      </c>
    </row>
    <row r="82" spans="2:2" ht="15" customHeight="1">
      <c r="B82" s="3" t="s">
        <v>104</v>
      </c>
    </row>
    <row r="83" spans="2:2" ht="15" customHeight="1">
      <c r="B83" s="3" t="s">
        <v>105</v>
      </c>
    </row>
    <row r="84" spans="2:2" ht="15" customHeight="1">
      <c r="B84" s="3" t="s">
        <v>106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6"/>
  <sheetViews>
    <sheetView showGridLines="0" zoomScaleNormal="100" workbookViewId="0"/>
  </sheetViews>
  <sheetFormatPr defaultColWidth="8.7109375" defaultRowHeight="15"/>
  <cols>
    <col min="1" max="1" width="2" customWidth="1"/>
    <col min="2" max="2" width="36" customWidth="1"/>
    <col min="3" max="6" width="16" customWidth="1"/>
  </cols>
  <sheetData>
    <row r="1" spans="2:6" ht="19.5" customHeight="1">
      <c r="B1" s="1" t="s">
        <v>107</v>
      </c>
    </row>
    <row r="2" spans="2:6" ht="15" customHeight="1">
      <c r="B2" s="8" t="s">
        <v>108</v>
      </c>
    </row>
    <row r="4" spans="2:6" ht="23.25" customHeight="1">
      <c r="B4" s="9" t="s">
        <v>109</v>
      </c>
      <c r="C4" s="10" t="s">
        <v>110</v>
      </c>
      <c r="D4" s="10" t="s">
        <v>111</v>
      </c>
      <c r="E4" s="10" t="s">
        <v>112</v>
      </c>
      <c r="F4" s="10" t="s">
        <v>113</v>
      </c>
    </row>
    <row r="5" spans="2:6" ht="15" customHeight="1">
      <c r="B5" s="11" t="s">
        <v>114</v>
      </c>
      <c r="C5" s="12">
        <f>SUM(Costs!C11:N11)/12</f>
        <v>5011.7565000000004</v>
      </c>
      <c r="D5" s="12">
        <f>SUM(Costs!O11:Z11)/12</f>
        <v>8046.2990000000018</v>
      </c>
      <c r="E5" s="12">
        <f>SUM(Costs!AA11:AF11)/6</f>
        <v>10529.31424</v>
      </c>
      <c r="F5" s="12">
        <f>Costs!AF11</f>
        <v>11080.426879999999</v>
      </c>
    </row>
    <row r="6" spans="2:6" ht="15" customHeight="1">
      <c r="B6" s="11" t="s">
        <v>115</v>
      </c>
      <c r="C6" s="12">
        <f>SUM(Costs!C15:N15)/12</f>
        <v>560.74249999999995</v>
      </c>
      <c r="D6" s="12">
        <f>SUM(Costs!O15:Z15)/12</f>
        <v>5924.414749999999</v>
      </c>
      <c r="E6" s="12">
        <f>SUM(Costs!AA15:AF15)/6</f>
        <v>9209.5095000000001</v>
      </c>
      <c r="F6" s="12">
        <f>Costs!AF15</f>
        <v>9970.5</v>
      </c>
    </row>
    <row r="7" spans="2:6" ht="15" customHeight="1">
      <c r="B7" s="11" t="s">
        <v>116</v>
      </c>
      <c r="C7" s="12">
        <f>SUM(Costs!C21:N21)/12</f>
        <v>981.09225585937509</v>
      </c>
      <c r="D7" s="12">
        <f>SUM(Costs!O21:Z21)/12</f>
        <v>7563.479661796875</v>
      </c>
      <c r="E7" s="12">
        <f>SUM(Costs!AA21:AF21)/6</f>
        <v>12674.021693882814</v>
      </c>
      <c r="F7" s="12">
        <f>Costs!AF21</f>
        <v>13844.5275234375</v>
      </c>
    </row>
    <row r="8" spans="2:6" ht="15" customHeight="1">
      <c r="B8" s="11" t="s">
        <v>117</v>
      </c>
      <c r="C8" s="12">
        <f>SUM(Costs!C30:N30)/12</f>
        <v>3712.3675000000003</v>
      </c>
      <c r="D8" s="12">
        <f>SUM(Costs!O30:Z30)/12</f>
        <v>5877.3644200000008</v>
      </c>
      <c r="E8" s="12">
        <f>SUM(Costs!AA30:AF30)/6</f>
        <v>8046.065333999999</v>
      </c>
      <c r="F8" s="12">
        <f>Costs!AF30</f>
        <v>8552.5459999999985</v>
      </c>
    </row>
    <row r="9" spans="2:6" ht="15" customHeight="1">
      <c r="B9" s="11" t="s">
        <v>118</v>
      </c>
      <c r="C9" s="12">
        <f>SUM(Costs!C34:N34)/12</f>
        <v>49.936855964660644</v>
      </c>
      <c r="D9" s="12">
        <f>SUM(Costs!O34:Z34)/12</f>
        <v>797.25374856826784</v>
      </c>
      <c r="E9" s="12">
        <f>SUM(Costs!AA34:AF34)/6</f>
        <v>1983.8927075623931</v>
      </c>
      <c r="F9" s="12">
        <f>Costs!AF34</f>
        <v>2375.1668037958143</v>
      </c>
    </row>
    <row r="10" spans="2:6" ht="15" customHeight="1">
      <c r="B10" s="11" t="s">
        <v>119</v>
      </c>
      <c r="C10" s="12">
        <f>SUM(Costs!C39:N39)/12</f>
        <v>7118.3262499999992</v>
      </c>
      <c r="D10" s="12">
        <f>SUM(Costs!O39:Z39)/12</f>
        <v>72943.960833333345</v>
      </c>
      <c r="E10" s="12">
        <f>SUM(Costs!AA39:AF39)/6</f>
        <v>120738.9516666667</v>
      </c>
      <c r="F10" s="12">
        <f>Costs!AF39</f>
        <v>132340.32</v>
      </c>
    </row>
    <row r="11" spans="2:6" ht="15" customHeight="1">
      <c r="B11" s="11" t="s">
        <v>76</v>
      </c>
      <c r="C11" s="12">
        <f>SUM(Costs!C47:N47)/12</f>
        <v>0</v>
      </c>
      <c r="D11" s="12">
        <f>SUM(Costs!O47:Z47)/12</f>
        <v>2090.5953999999997</v>
      </c>
      <c r="E11" s="12">
        <f>SUM(Costs!AA47:AF47)/6</f>
        <v>3810.349466666667</v>
      </c>
      <c r="F11" s="12">
        <f>Costs!AF47</f>
        <v>4470</v>
      </c>
    </row>
    <row r="12" spans="2:6" ht="15" customHeight="1">
      <c r="B12" s="13" t="s">
        <v>120</v>
      </c>
      <c r="C12" s="14">
        <f>SUM(C5:C11)</f>
        <v>17434.221861824037</v>
      </c>
      <c r="D12" s="14">
        <f>SUM(D5:D11)</f>
        <v>103243.3678136985</v>
      </c>
      <c r="E12" s="14">
        <f>SUM(E5:E11)</f>
        <v>166992.10460877858</v>
      </c>
      <c r="F12" s="14">
        <f>SUM(F5:F11)</f>
        <v>182633.48720723332</v>
      </c>
    </row>
    <row r="14" spans="2:6" ht="23.25" customHeight="1">
      <c r="B14" s="9" t="s">
        <v>121</v>
      </c>
      <c r="C14" s="10" t="s">
        <v>122</v>
      </c>
      <c r="D14" s="10" t="s">
        <v>123</v>
      </c>
      <c r="E14" s="10" t="s">
        <v>124</v>
      </c>
      <c r="F14" s="10" t="s">
        <v>125</v>
      </c>
    </row>
    <row r="15" spans="2:6" ht="15" customHeight="1">
      <c r="B15" s="13" t="s">
        <v>126</v>
      </c>
      <c r="C15" s="14">
        <f>SUM(Costs!C49:N49)</f>
        <v>209210.66234188841</v>
      </c>
      <c r="D15" s="14">
        <f>SUM(Costs!O49:Z49)</f>
        <v>1238920.4137643818</v>
      </c>
      <c r="E15" s="14">
        <f>SUM(Costs!AA49:AF49)</f>
        <v>1001952.6276526713</v>
      </c>
      <c r="F15" s="14">
        <f>SUM(C15:E15)</f>
        <v>2450083.7037589415</v>
      </c>
    </row>
    <row r="17" spans="2:6" ht="15" customHeight="1">
      <c r="B17" s="15" t="s">
        <v>127</v>
      </c>
      <c r="C17" s="16"/>
      <c r="D17" s="16"/>
      <c r="E17" s="16"/>
      <c r="F17" s="16"/>
    </row>
    <row r="18" spans="2:6" ht="15" customHeight="1">
      <c r="B18" s="11" t="s">
        <v>128</v>
      </c>
      <c r="C18" s="17">
        <f>Drivers!N7</f>
        <v>1000000</v>
      </c>
      <c r="D18" s="17">
        <f>Drivers!Z7</f>
        <v>3900000</v>
      </c>
      <c r="E18" s="17">
        <f>Drivers!AF7</f>
        <v>5000000</v>
      </c>
      <c r="F18" s="17">
        <f>Drivers!AF7</f>
        <v>5000000</v>
      </c>
    </row>
    <row r="19" spans="2:6" ht="15" customHeight="1">
      <c r="B19" s="11" t="s">
        <v>129</v>
      </c>
      <c r="C19" s="18">
        <f>C15/C18</f>
        <v>0.2092106623418884</v>
      </c>
      <c r="D19" s="18">
        <f>D15/D18</f>
        <v>0.31767190096522607</v>
      </c>
      <c r="E19" s="18">
        <f>E15/E18</f>
        <v>0.20039052553053427</v>
      </c>
      <c r="F19" s="18">
        <f>F15/F18</f>
        <v>0.4900167407517883</v>
      </c>
    </row>
    <row r="20" spans="2:6" ht="15" customHeight="1">
      <c r="B20" s="11" t="s">
        <v>130</v>
      </c>
      <c r="C20" s="17">
        <f>SUM(Drivers!C11:N11)</f>
        <v>17157000</v>
      </c>
      <c r="D20" s="17">
        <f>SUM(Drivers!O11:Z11)</f>
        <v>175932400</v>
      </c>
      <c r="E20" s="17">
        <f>SUM(Drivers!AA11:AF11)</f>
        <v>145608400</v>
      </c>
      <c r="F20" s="19">
        <f>SUM(C20:E20)</f>
        <v>338697800</v>
      </c>
    </row>
    <row r="21" spans="2:6" ht="15" customHeight="1">
      <c r="B21" s="11" t="s">
        <v>131</v>
      </c>
      <c r="C21" s="20">
        <f>C15/C20</f>
        <v>1.2193895339621636E-2</v>
      </c>
      <c r="D21" s="20">
        <f>D15/D20</f>
        <v>7.0420253106555798E-3</v>
      </c>
      <c r="E21" s="20">
        <f>E15/E20</f>
        <v>6.8811457831599778E-3</v>
      </c>
      <c r="F21" s="20">
        <f>F15/F20</f>
        <v>7.2338341251668645E-3</v>
      </c>
    </row>
    <row r="23" spans="2:6" ht="15" customHeight="1">
      <c r="B23" s="15" t="s">
        <v>132</v>
      </c>
      <c r="C23" s="16"/>
      <c r="D23" s="16"/>
      <c r="E23" s="16"/>
      <c r="F23" s="16"/>
    </row>
    <row r="24" spans="2:6" ht="15" customHeight="1">
      <c r="B24" s="21" t="s">
        <v>133</v>
      </c>
      <c r="C24" s="22">
        <f>F15</f>
        <v>2450083.7037589415</v>
      </c>
    </row>
    <row r="25" spans="2:6" ht="15" customHeight="1">
      <c r="B25" s="11" t="s">
        <v>134</v>
      </c>
      <c r="C25" s="23">
        <f>SUM(Costs!C39:AF39)/F15</f>
        <v>0.6878055441185863</v>
      </c>
    </row>
    <row r="26" spans="2:6" ht="15" customHeight="1">
      <c r="B26" s="11" t="s">
        <v>135</v>
      </c>
      <c r="C26" s="24">
        <f>Costs!C49</f>
        <v>9107.3487003393566</v>
      </c>
      <c r="D26" s="24">
        <f>Costs!AF49</f>
        <v>182633.48720723332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11"/>
  <sheetViews>
    <sheetView showGridLines="0" zoomScaleNormal="100" workbookViewId="0"/>
  </sheetViews>
  <sheetFormatPr defaultColWidth="8.7109375" defaultRowHeight="15"/>
  <cols>
    <col min="1" max="1" width="3" customWidth="1"/>
    <col min="2" max="2" width="46" customWidth="1"/>
    <col min="3" max="3" width="14" customWidth="1"/>
    <col min="4" max="4" width="58" customWidth="1"/>
  </cols>
  <sheetData>
    <row r="1" spans="2:4" ht="19.5" customHeight="1">
      <c r="B1" s="1" t="s">
        <v>136</v>
      </c>
    </row>
    <row r="2" spans="2:4" ht="15" customHeight="1">
      <c r="B2" s="8" t="s">
        <v>137</v>
      </c>
    </row>
    <row r="4" spans="2:4" ht="15" customHeight="1">
      <c r="B4" s="15" t="s">
        <v>138</v>
      </c>
      <c r="C4" s="16"/>
      <c r="D4" s="16"/>
    </row>
    <row r="5" spans="2:4" ht="15" customHeight="1">
      <c r="B5" s="11" t="s">
        <v>139</v>
      </c>
      <c r="C5" s="25">
        <v>0.25</v>
      </c>
      <c r="D5" s="8" t="s">
        <v>140</v>
      </c>
    </row>
    <row r="6" spans="2:4" ht="15" customHeight="1">
      <c r="B6" s="11" t="s">
        <v>141</v>
      </c>
      <c r="C6" s="26">
        <v>0.45</v>
      </c>
      <c r="D6" s="8" t="s">
        <v>142</v>
      </c>
    </row>
    <row r="7" spans="2:4" ht="15" customHeight="1">
      <c r="B7" s="11" t="s">
        <v>143</v>
      </c>
      <c r="C7" s="26">
        <v>0.7</v>
      </c>
      <c r="D7" s="8" t="s">
        <v>144</v>
      </c>
    </row>
    <row r="8" spans="2:4" ht="15" customHeight="1">
      <c r="B8" s="15" t="s">
        <v>145</v>
      </c>
      <c r="C8" s="16"/>
      <c r="D8" s="16"/>
    </row>
    <row r="9" spans="2:4" ht="15" customHeight="1">
      <c r="B9" s="11" t="s">
        <v>146</v>
      </c>
      <c r="C9" s="27">
        <v>3</v>
      </c>
      <c r="D9" s="8" t="s">
        <v>147</v>
      </c>
    </row>
    <row r="10" spans="2:4" ht="15" customHeight="1">
      <c r="B10" s="11" t="s">
        <v>148</v>
      </c>
      <c r="C10" s="26">
        <v>0.5</v>
      </c>
      <c r="D10" s="8" t="s">
        <v>149</v>
      </c>
    </row>
    <row r="11" spans="2:4" ht="15" customHeight="1">
      <c r="B11" s="15" t="s">
        <v>150</v>
      </c>
      <c r="C11" s="16"/>
      <c r="D11" s="16"/>
    </row>
    <row r="12" spans="2:4" ht="15" customHeight="1">
      <c r="B12" s="11" t="s">
        <v>151</v>
      </c>
      <c r="C12" s="26">
        <v>0.55000000000000004</v>
      </c>
      <c r="D12" s="8" t="s">
        <v>152</v>
      </c>
    </row>
    <row r="13" spans="2:4" ht="15" customHeight="1">
      <c r="B13" s="11" t="s">
        <v>153</v>
      </c>
      <c r="C13" s="26">
        <v>0.35</v>
      </c>
    </row>
    <row r="14" spans="2:4" ht="15" customHeight="1">
      <c r="B14" s="11" t="s">
        <v>154</v>
      </c>
      <c r="C14" s="26">
        <v>0.1</v>
      </c>
      <c r="D14" s="8" t="s">
        <v>155</v>
      </c>
    </row>
    <row r="15" spans="2:4" ht="15" customHeight="1">
      <c r="B15" s="15" t="s">
        <v>156</v>
      </c>
      <c r="C15" s="16"/>
      <c r="D15" s="16"/>
    </row>
    <row r="16" spans="2:4" ht="15" customHeight="1">
      <c r="B16" s="11" t="s">
        <v>157</v>
      </c>
      <c r="C16" s="28">
        <v>400</v>
      </c>
      <c r="D16" s="8" t="s">
        <v>158</v>
      </c>
    </row>
    <row r="17" spans="2:4" ht="15" customHeight="1">
      <c r="B17" s="11" t="s">
        <v>159</v>
      </c>
      <c r="C17" s="28">
        <v>500</v>
      </c>
      <c r="D17" s="8" t="s">
        <v>160</v>
      </c>
    </row>
    <row r="18" spans="2:4" ht="15" customHeight="1">
      <c r="B18" s="11" t="s">
        <v>161</v>
      </c>
      <c r="C18" s="28">
        <v>5</v>
      </c>
    </row>
    <row r="19" spans="2:4" ht="15" customHeight="1">
      <c r="B19" s="11" t="s">
        <v>162</v>
      </c>
      <c r="C19" s="28">
        <v>320</v>
      </c>
      <c r="D19" s="8" t="s">
        <v>163</v>
      </c>
    </row>
    <row r="20" spans="2:4" ht="15" customHeight="1">
      <c r="B20" s="11" t="s">
        <v>164</v>
      </c>
      <c r="C20" s="28">
        <v>18</v>
      </c>
      <c r="D20" s="8" t="s">
        <v>165</v>
      </c>
    </row>
    <row r="21" spans="2:4" ht="15" customHeight="1">
      <c r="B21" s="15" t="s">
        <v>166</v>
      </c>
      <c r="C21" s="16"/>
      <c r="D21" s="16"/>
    </row>
    <row r="22" spans="2:4" ht="15" customHeight="1">
      <c r="B22" s="11" t="s">
        <v>167</v>
      </c>
      <c r="C22" s="28">
        <v>60</v>
      </c>
      <c r="D22" s="8" t="s">
        <v>168</v>
      </c>
    </row>
    <row r="23" spans="2:4" ht="15" customHeight="1">
      <c r="B23" s="11" t="s">
        <v>169</v>
      </c>
      <c r="C23" s="28">
        <v>25</v>
      </c>
    </row>
    <row r="24" spans="2:4" ht="15" customHeight="1">
      <c r="B24" s="15" t="s">
        <v>170</v>
      </c>
      <c r="C24" s="16"/>
      <c r="D24" s="16"/>
    </row>
    <row r="25" spans="2:4" ht="15" customHeight="1">
      <c r="B25" s="11" t="s">
        <v>171</v>
      </c>
      <c r="C25" s="28">
        <v>1200</v>
      </c>
      <c r="D25" s="8" t="s">
        <v>172</v>
      </c>
    </row>
    <row r="26" spans="2:4" ht="15" customHeight="1">
      <c r="B26" s="11" t="s">
        <v>173</v>
      </c>
      <c r="C26" s="28">
        <v>50</v>
      </c>
    </row>
    <row r="27" spans="2:4" ht="15" customHeight="1">
      <c r="B27" s="11" t="s">
        <v>174</v>
      </c>
      <c r="C27" s="28">
        <v>2500</v>
      </c>
      <c r="D27" s="8" t="s">
        <v>175</v>
      </c>
    </row>
    <row r="28" spans="2:4" ht="15" customHeight="1">
      <c r="B28" s="11" t="s">
        <v>176</v>
      </c>
      <c r="C28" s="28">
        <v>500</v>
      </c>
    </row>
    <row r="29" spans="2:4" ht="15" customHeight="1">
      <c r="B29" s="11" t="s">
        <v>177</v>
      </c>
      <c r="C29" s="28">
        <v>5</v>
      </c>
      <c r="D29" s="8" t="s">
        <v>178</v>
      </c>
    </row>
    <row r="30" spans="2:4" ht="15" customHeight="1">
      <c r="B30" s="11" t="s">
        <v>179</v>
      </c>
      <c r="C30" s="28">
        <v>2000</v>
      </c>
    </row>
    <row r="31" spans="2:4" ht="15" customHeight="1">
      <c r="B31" s="11" t="s">
        <v>180</v>
      </c>
      <c r="C31" s="28">
        <v>1000</v>
      </c>
    </row>
    <row r="32" spans="2:4" ht="15" customHeight="1">
      <c r="B32" s="15" t="s">
        <v>181</v>
      </c>
      <c r="C32" s="16"/>
      <c r="D32" s="16"/>
    </row>
    <row r="33" spans="2:4" ht="15" customHeight="1">
      <c r="B33" s="11" t="s">
        <v>182</v>
      </c>
      <c r="C33" s="29">
        <v>1</v>
      </c>
      <c r="D33" s="8" t="s">
        <v>183</v>
      </c>
    </row>
    <row r="34" spans="2:4" ht="15" customHeight="1">
      <c r="B34" s="11" t="s">
        <v>184</v>
      </c>
      <c r="C34" s="29">
        <v>5</v>
      </c>
    </row>
    <row r="35" spans="2:4" ht="15" customHeight="1">
      <c r="B35" s="11" t="s">
        <v>185</v>
      </c>
      <c r="C35" s="29">
        <v>3</v>
      </c>
    </row>
    <row r="36" spans="2:4" ht="15" customHeight="1">
      <c r="B36" s="11" t="s">
        <v>186</v>
      </c>
      <c r="C36" s="29">
        <v>15</v>
      </c>
    </row>
    <row r="37" spans="2:4" ht="15" customHeight="1">
      <c r="B37" s="11" t="s">
        <v>187</v>
      </c>
      <c r="C37" s="29">
        <v>5</v>
      </c>
    </row>
    <row r="38" spans="2:4" ht="15" customHeight="1">
      <c r="B38" s="11" t="s">
        <v>188</v>
      </c>
      <c r="C38" s="29">
        <v>25</v>
      </c>
    </row>
    <row r="39" spans="2:4" ht="15" customHeight="1">
      <c r="B39" s="11" t="s">
        <v>189</v>
      </c>
      <c r="C39" s="26">
        <v>0.5</v>
      </c>
      <c r="D39" s="8" t="s">
        <v>190</v>
      </c>
    </row>
    <row r="40" spans="2:4" ht="15" customHeight="1">
      <c r="B40" s="11" t="s">
        <v>191</v>
      </c>
      <c r="C40" s="26">
        <v>0.5</v>
      </c>
      <c r="D40" s="8" t="s">
        <v>192</v>
      </c>
    </row>
    <row r="41" spans="2:4" ht="15" customHeight="1">
      <c r="B41" s="11" t="s">
        <v>193</v>
      </c>
      <c r="C41" s="25">
        <v>0</v>
      </c>
      <c r="D41" s="8" t="s">
        <v>194</v>
      </c>
    </row>
    <row r="42" spans="2:4" ht="15" customHeight="1">
      <c r="B42" s="15" t="s">
        <v>195</v>
      </c>
      <c r="C42" s="16"/>
      <c r="D42" s="16"/>
    </row>
    <row r="43" spans="2:4" ht="15" customHeight="1">
      <c r="B43" s="11" t="s">
        <v>196</v>
      </c>
      <c r="C43" s="29">
        <v>0.1</v>
      </c>
    </row>
    <row r="44" spans="2:4" ht="15" customHeight="1">
      <c r="B44" s="11" t="s">
        <v>197</v>
      </c>
      <c r="C44" s="28">
        <v>30000</v>
      </c>
    </row>
    <row r="45" spans="2:4" ht="15" customHeight="1">
      <c r="B45" s="11" t="s">
        <v>198</v>
      </c>
      <c r="C45" s="28">
        <v>4</v>
      </c>
      <c r="D45" s="8" t="s">
        <v>199</v>
      </c>
    </row>
    <row r="46" spans="2:4" ht="15" customHeight="1">
      <c r="B46" s="11" t="s">
        <v>200</v>
      </c>
      <c r="C46" s="29">
        <v>0.192</v>
      </c>
      <c r="D46" s="8" t="s">
        <v>201</v>
      </c>
    </row>
    <row r="47" spans="2:4" ht="15" customHeight="1">
      <c r="B47" s="11" t="s">
        <v>202</v>
      </c>
      <c r="C47" s="26">
        <v>0.25</v>
      </c>
      <c r="D47" s="8" t="s">
        <v>203</v>
      </c>
    </row>
    <row r="48" spans="2:4" ht="15" customHeight="1">
      <c r="B48" s="11" t="s">
        <v>204</v>
      </c>
      <c r="C48" s="30">
        <v>250</v>
      </c>
      <c r="D48" s="8" t="s">
        <v>205</v>
      </c>
    </row>
    <row r="49" spans="2:4" ht="15" customHeight="1">
      <c r="B49" s="11" t="s">
        <v>206</v>
      </c>
      <c r="C49" s="29">
        <v>0.65</v>
      </c>
      <c r="D49" s="8" t="s">
        <v>207</v>
      </c>
    </row>
    <row r="50" spans="2:4" ht="15" customHeight="1">
      <c r="B50" s="11" t="s">
        <v>208</v>
      </c>
      <c r="C50" s="30">
        <v>850</v>
      </c>
      <c r="D50" s="8" t="s">
        <v>209</v>
      </c>
    </row>
    <row r="51" spans="2:4" ht="15" customHeight="1">
      <c r="B51" s="11" t="s">
        <v>210</v>
      </c>
      <c r="C51" s="31">
        <v>650</v>
      </c>
      <c r="D51" s="8" t="s">
        <v>211</v>
      </c>
    </row>
    <row r="52" spans="2:4" ht="15" customHeight="1">
      <c r="B52" s="15" t="s">
        <v>212</v>
      </c>
      <c r="C52" s="16"/>
      <c r="D52" s="16"/>
    </row>
    <row r="53" spans="2:4" ht="15" customHeight="1">
      <c r="B53" s="11" t="s">
        <v>213</v>
      </c>
      <c r="C53" s="28">
        <v>50000</v>
      </c>
    </row>
    <row r="54" spans="2:4" ht="15" customHeight="1">
      <c r="B54" s="11" t="s">
        <v>214</v>
      </c>
      <c r="C54" s="29">
        <v>5.4999999999999997E-3</v>
      </c>
      <c r="D54" s="8" t="s">
        <v>215</v>
      </c>
    </row>
    <row r="55" spans="2:4" ht="15" customHeight="1">
      <c r="B55" s="11" t="s">
        <v>216</v>
      </c>
      <c r="C55" s="29">
        <v>4.5999999999999999E-3</v>
      </c>
    </row>
    <row r="56" spans="2:4" ht="15" customHeight="1">
      <c r="B56" s="11" t="s">
        <v>217</v>
      </c>
      <c r="C56" s="29">
        <v>3.2499999999999999E-3</v>
      </c>
    </row>
    <row r="57" spans="2:4" ht="15" customHeight="1">
      <c r="B57" s="11" t="s">
        <v>218</v>
      </c>
      <c r="C57" s="29">
        <v>2.5000000000000001E-3</v>
      </c>
    </row>
    <row r="58" spans="2:4" ht="15" customHeight="1">
      <c r="B58" s="11" t="s">
        <v>219</v>
      </c>
      <c r="C58" s="30">
        <v>25</v>
      </c>
    </row>
    <row r="59" spans="2:4" ht="15" customHeight="1">
      <c r="B59" s="11" t="s">
        <v>220</v>
      </c>
      <c r="C59" s="29">
        <v>0.6</v>
      </c>
    </row>
    <row r="60" spans="2:4" ht="15" customHeight="1">
      <c r="B60" s="15" t="s">
        <v>221</v>
      </c>
      <c r="C60" s="16"/>
      <c r="D60" s="16"/>
    </row>
    <row r="61" spans="2:4" ht="15" customHeight="1">
      <c r="B61" s="11" t="s">
        <v>222</v>
      </c>
      <c r="C61" s="28">
        <v>2</v>
      </c>
    </row>
    <row r="62" spans="2:4" ht="15" customHeight="1">
      <c r="B62" s="11" t="s">
        <v>223</v>
      </c>
      <c r="C62" s="29">
        <v>2.2499999999999999E-2</v>
      </c>
    </row>
    <row r="63" spans="2:4" ht="15" customHeight="1">
      <c r="B63" s="11" t="s">
        <v>224</v>
      </c>
      <c r="C63" s="29">
        <v>0.1</v>
      </c>
      <c r="D63" s="8" t="s">
        <v>225</v>
      </c>
    </row>
    <row r="64" spans="2:4" ht="15" customHeight="1">
      <c r="B64" s="11" t="s">
        <v>226</v>
      </c>
      <c r="C64" s="29">
        <v>0.06</v>
      </c>
      <c r="D64" s="8" t="s">
        <v>227</v>
      </c>
    </row>
    <row r="65" spans="2:4" ht="15" customHeight="1">
      <c r="B65" s="11" t="s">
        <v>228</v>
      </c>
      <c r="C65" s="28">
        <v>2</v>
      </c>
    </row>
    <row r="66" spans="2:4" ht="15" customHeight="1">
      <c r="B66" s="11" t="s">
        <v>229</v>
      </c>
      <c r="C66" s="29">
        <v>4.4999999999999998E-2</v>
      </c>
      <c r="D66" s="8" t="s">
        <v>230</v>
      </c>
    </row>
    <row r="67" spans="2:4" ht="15" customHeight="1">
      <c r="B67" s="15" t="s">
        <v>231</v>
      </c>
      <c r="C67" s="16"/>
      <c r="D67" s="16"/>
    </row>
    <row r="68" spans="2:4" ht="15" customHeight="1">
      <c r="B68" s="11" t="s">
        <v>232</v>
      </c>
      <c r="C68" s="28">
        <v>25000</v>
      </c>
    </row>
    <row r="69" spans="2:4" ht="15" customHeight="1">
      <c r="B69" s="11" t="s">
        <v>233</v>
      </c>
      <c r="C69" s="28">
        <v>10</v>
      </c>
      <c r="D69" s="8" t="s">
        <v>234</v>
      </c>
    </row>
    <row r="70" spans="2:4" ht="15" customHeight="1">
      <c r="B70" s="11" t="s">
        <v>235</v>
      </c>
      <c r="C70" s="32">
        <v>1</v>
      </c>
      <c r="D70" s="8" t="s">
        <v>236</v>
      </c>
    </row>
    <row r="71" spans="2:4" ht="15" customHeight="1">
      <c r="B71" s="11" t="s">
        <v>237</v>
      </c>
      <c r="C71" s="29">
        <v>0.12</v>
      </c>
      <c r="D71" s="8" t="s">
        <v>238</v>
      </c>
    </row>
    <row r="72" spans="2:4" ht="15" customHeight="1">
      <c r="B72" s="11" t="s">
        <v>239</v>
      </c>
      <c r="C72" s="29">
        <v>0.1</v>
      </c>
    </row>
    <row r="73" spans="2:4" ht="15" customHeight="1">
      <c r="B73" s="11" t="s">
        <v>240</v>
      </c>
      <c r="C73" s="32">
        <v>0.5</v>
      </c>
      <c r="D73" s="8" t="s">
        <v>241</v>
      </c>
    </row>
    <row r="74" spans="2:4" ht="15" customHeight="1">
      <c r="B74" s="15" t="s">
        <v>242</v>
      </c>
      <c r="C74" s="16"/>
      <c r="D74" s="16"/>
    </row>
    <row r="75" spans="2:4" ht="15" customHeight="1">
      <c r="B75" s="11" t="s">
        <v>243</v>
      </c>
      <c r="C75" s="28">
        <v>4</v>
      </c>
      <c r="D75" s="8" t="s">
        <v>244</v>
      </c>
    </row>
    <row r="76" spans="2:4" ht="15" customHeight="1">
      <c r="B76" s="11" t="s">
        <v>245</v>
      </c>
      <c r="C76" s="28">
        <v>40</v>
      </c>
    </row>
    <row r="77" spans="2:4" ht="15" customHeight="1">
      <c r="B77" s="11" t="s">
        <v>246</v>
      </c>
      <c r="C77" s="29">
        <v>1.25</v>
      </c>
    </row>
    <row r="78" spans="2:4" ht="15" customHeight="1">
      <c r="B78" s="11" t="s">
        <v>247</v>
      </c>
      <c r="C78" s="29">
        <v>0.25</v>
      </c>
    </row>
    <row r="79" spans="2:4" ht="15" customHeight="1">
      <c r="B79" s="11" t="s">
        <v>248</v>
      </c>
      <c r="C79" s="29">
        <v>0.25</v>
      </c>
    </row>
    <row r="80" spans="2:4" ht="15" customHeight="1">
      <c r="B80" s="11" t="s">
        <v>249</v>
      </c>
      <c r="C80" s="32">
        <v>0.3</v>
      </c>
    </row>
    <row r="81" spans="2:4" ht="15" customHeight="1">
      <c r="B81" s="11" t="s">
        <v>250</v>
      </c>
      <c r="C81" s="30">
        <v>650</v>
      </c>
      <c r="D81" s="8" t="s">
        <v>251</v>
      </c>
    </row>
    <row r="82" spans="2:4" ht="15" customHeight="1">
      <c r="B82" s="11" t="s">
        <v>252</v>
      </c>
      <c r="C82" s="30">
        <v>650</v>
      </c>
      <c r="D82" s="8" t="s">
        <v>253</v>
      </c>
    </row>
    <row r="83" spans="2:4" ht="15" customHeight="1">
      <c r="B83" s="15" t="s">
        <v>254</v>
      </c>
      <c r="C83" s="16"/>
      <c r="D83" s="16"/>
    </row>
    <row r="84" spans="2:4" ht="15" customHeight="1">
      <c r="B84" s="11" t="s">
        <v>255</v>
      </c>
      <c r="C84" s="29">
        <v>0.02</v>
      </c>
      <c r="D84" s="8" t="s">
        <v>256</v>
      </c>
    </row>
    <row r="85" spans="2:4" ht="15" customHeight="1">
      <c r="B85" s="11" t="s">
        <v>257</v>
      </c>
      <c r="C85" s="29">
        <v>5.0000000000000001E-3</v>
      </c>
    </row>
    <row r="86" spans="2:4" ht="15" customHeight="1">
      <c r="B86" s="11" t="s">
        <v>258</v>
      </c>
      <c r="C86" s="29">
        <v>4.0000000000000002E-4</v>
      </c>
    </row>
    <row r="87" spans="2:4" ht="15" customHeight="1">
      <c r="B87" s="15" t="s">
        <v>259</v>
      </c>
      <c r="C87" s="16"/>
      <c r="D87" s="16"/>
    </row>
    <row r="88" spans="2:4" ht="15" customHeight="1">
      <c r="B88" s="11" t="s">
        <v>260</v>
      </c>
      <c r="C88" s="27">
        <v>13</v>
      </c>
      <c r="D88" s="8" t="s">
        <v>261</v>
      </c>
    </row>
    <row r="89" spans="2:4" ht="15" customHeight="1">
      <c r="B89" s="11" t="s">
        <v>262</v>
      </c>
      <c r="C89" s="32">
        <v>1.2</v>
      </c>
      <c r="D89" s="8" t="s">
        <v>263</v>
      </c>
    </row>
    <row r="90" spans="2:4" ht="15" customHeight="1">
      <c r="B90" s="11" t="s">
        <v>264</v>
      </c>
      <c r="C90" s="29">
        <v>0.02</v>
      </c>
    </row>
    <row r="91" spans="2:4" ht="15" customHeight="1">
      <c r="B91" s="11" t="s">
        <v>265</v>
      </c>
      <c r="C91" s="29">
        <v>2</v>
      </c>
      <c r="D91" s="8" t="s">
        <v>266</v>
      </c>
    </row>
    <row r="92" spans="2:4" ht="15" customHeight="1">
      <c r="B92" s="11" t="s">
        <v>267</v>
      </c>
      <c r="C92" s="30">
        <v>400</v>
      </c>
    </row>
    <row r="93" spans="2:4" ht="15" customHeight="1">
      <c r="B93" s="11" t="s">
        <v>268</v>
      </c>
      <c r="C93" s="29">
        <v>5</v>
      </c>
    </row>
    <row r="94" spans="2:4" ht="15" customHeight="1">
      <c r="B94" s="11" t="s">
        <v>269</v>
      </c>
      <c r="C94" s="28">
        <v>4</v>
      </c>
    </row>
    <row r="95" spans="2:4" ht="15" customHeight="1">
      <c r="B95" s="11" t="s">
        <v>270</v>
      </c>
      <c r="C95" s="30">
        <v>350</v>
      </c>
    </row>
    <row r="96" spans="2:4" ht="15" customHeight="1">
      <c r="B96" s="11" t="s">
        <v>271</v>
      </c>
      <c r="C96" s="29">
        <v>1.52</v>
      </c>
    </row>
    <row r="97" spans="2:4" ht="15" customHeight="1">
      <c r="B97" s="11" t="s">
        <v>272</v>
      </c>
      <c r="C97" s="28">
        <v>120</v>
      </c>
    </row>
    <row r="98" spans="2:4" ht="15" customHeight="1">
      <c r="B98" s="11" t="s">
        <v>273</v>
      </c>
      <c r="C98" s="28">
        <v>500</v>
      </c>
      <c r="D98" s="8" t="s">
        <v>274</v>
      </c>
    </row>
    <row r="99" spans="2:4" ht="15" customHeight="1">
      <c r="B99" s="15" t="s">
        <v>82</v>
      </c>
      <c r="C99" s="16"/>
      <c r="D99" s="16"/>
    </row>
    <row r="100" spans="2:4" ht="15" customHeight="1">
      <c r="B100" s="11" t="s">
        <v>275</v>
      </c>
      <c r="C100" s="27">
        <v>13</v>
      </c>
      <c r="D100" s="8" t="s">
        <v>276</v>
      </c>
    </row>
    <row r="101" spans="2:4" ht="15" customHeight="1">
      <c r="B101" s="11" t="s">
        <v>277</v>
      </c>
      <c r="C101" s="27">
        <v>25</v>
      </c>
      <c r="D101" s="8" t="s">
        <v>278</v>
      </c>
    </row>
    <row r="102" spans="2:4" ht="15" customHeight="1">
      <c r="B102" s="11" t="s">
        <v>279</v>
      </c>
      <c r="C102" s="26">
        <v>0.08</v>
      </c>
      <c r="D102" s="8" t="s">
        <v>280</v>
      </c>
    </row>
    <row r="103" spans="2:4" ht="15" customHeight="1">
      <c r="B103" s="11" t="s">
        <v>281</v>
      </c>
      <c r="C103" s="26">
        <v>0.18</v>
      </c>
      <c r="D103" s="8" t="s">
        <v>282</v>
      </c>
    </row>
    <row r="104" spans="2:4" ht="15" customHeight="1">
      <c r="B104" s="11" t="s">
        <v>283</v>
      </c>
      <c r="C104" s="26">
        <v>0.25</v>
      </c>
    </row>
    <row r="105" spans="2:4" ht="15" customHeight="1">
      <c r="B105" s="11" t="s">
        <v>284</v>
      </c>
      <c r="C105" s="26">
        <v>0.15</v>
      </c>
    </row>
    <row r="107" spans="2:4" ht="15" customHeight="1">
      <c r="B107" s="15" t="s">
        <v>285</v>
      </c>
      <c r="C107" s="15"/>
      <c r="D107" s="15"/>
    </row>
    <row r="108" spans="2:4" ht="15" customHeight="1">
      <c r="B108" s="11" t="s">
        <v>286</v>
      </c>
      <c r="C108" s="33">
        <v>300</v>
      </c>
      <c r="D108" s="8" t="s">
        <v>287</v>
      </c>
    </row>
    <row r="109" spans="2:4" ht="15" customHeight="1">
      <c r="B109" s="11" t="s">
        <v>288</v>
      </c>
      <c r="C109" s="34">
        <v>0.18</v>
      </c>
      <c r="D109" s="8" t="s">
        <v>289</v>
      </c>
    </row>
    <row r="110" spans="2:4" ht="15" customHeight="1">
      <c r="B110" s="11" t="s">
        <v>290</v>
      </c>
      <c r="C110" s="33">
        <v>120</v>
      </c>
      <c r="D110" s="8" t="s">
        <v>291</v>
      </c>
    </row>
    <row r="111" spans="2:4" ht="15" customHeight="1">
      <c r="B111" t="s">
        <v>292</v>
      </c>
      <c r="C111" s="35">
        <v>0.2</v>
      </c>
      <c r="D111" t="s">
        <v>293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F24"/>
  <sheetViews>
    <sheetView showGridLines="0" zoomScaleNormal="100" workbookViewId="0"/>
  </sheetViews>
  <sheetFormatPr defaultColWidth="8.7109375" defaultRowHeight="15"/>
  <cols>
    <col min="1" max="1" width="2" customWidth="1"/>
    <col min="2" max="2" width="34" customWidth="1"/>
    <col min="3" max="32" width="11" customWidth="1"/>
  </cols>
  <sheetData>
    <row r="1" spans="2:32" ht="19.5" customHeight="1">
      <c r="B1" s="1" t="s">
        <v>294</v>
      </c>
    </row>
    <row r="2" spans="2:32" ht="15" customHeight="1">
      <c r="B2" s="8" t="s">
        <v>295</v>
      </c>
    </row>
    <row r="4" spans="2:32" ht="15" customHeight="1">
      <c r="B4" s="9" t="s">
        <v>296</v>
      </c>
      <c r="C4" s="36" t="s">
        <v>297</v>
      </c>
      <c r="D4" s="36" t="s">
        <v>298</v>
      </c>
      <c r="E4" s="36" t="s">
        <v>299</v>
      </c>
      <c r="F4" s="36" t="s">
        <v>300</v>
      </c>
      <c r="G4" s="36" t="s">
        <v>301</v>
      </c>
      <c r="H4" s="36" t="s">
        <v>302</v>
      </c>
      <c r="I4" s="36" t="s">
        <v>303</v>
      </c>
      <c r="J4" s="36" t="s">
        <v>304</v>
      </c>
      <c r="K4" s="36" t="s">
        <v>305</v>
      </c>
      <c r="L4" s="36" t="s">
        <v>306</v>
      </c>
      <c r="M4" s="36" t="s">
        <v>307</v>
      </c>
      <c r="N4" s="36" t="s">
        <v>308</v>
      </c>
      <c r="O4" s="36" t="s">
        <v>309</v>
      </c>
      <c r="P4" s="36" t="s">
        <v>310</v>
      </c>
      <c r="Q4" s="36" t="s">
        <v>311</v>
      </c>
      <c r="R4" s="36" t="s">
        <v>312</v>
      </c>
      <c r="S4" s="36" t="s">
        <v>313</v>
      </c>
      <c r="T4" s="36" t="s">
        <v>314</v>
      </c>
      <c r="U4" s="36" t="s">
        <v>315</v>
      </c>
      <c r="V4" s="36" t="s">
        <v>316</v>
      </c>
      <c r="W4" s="36" t="s">
        <v>317</v>
      </c>
      <c r="X4" s="36" t="s">
        <v>318</v>
      </c>
      <c r="Y4" s="36" t="s">
        <v>319</v>
      </c>
      <c r="Z4" s="36" t="s">
        <v>320</v>
      </c>
      <c r="AA4" s="36" t="s">
        <v>321</v>
      </c>
      <c r="AB4" s="36" t="s">
        <v>322</v>
      </c>
      <c r="AC4" s="36" t="s">
        <v>323</v>
      </c>
      <c r="AD4" s="36" t="s">
        <v>324</v>
      </c>
      <c r="AE4" s="36" t="s">
        <v>325</v>
      </c>
      <c r="AF4" s="36" t="s">
        <v>326</v>
      </c>
    </row>
    <row r="5" spans="2:32" ht="15" customHeight="1">
      <c r="B5" s="21" t="s">
        <v>327</v>
      </c>
      <c r="C5" s="37">
        <v>46296</v>
      </c>
      <c r="D5" s="37">
        <v>46327</v>
      </c>
      <c r="E5" s="37">
        <v>46357</v>
      </c>
      <c r="F5" s="37">
        <v>46388</v>
      </c>
      <c r="G5" s="37">
        <v>46419</v>
      </c>
      <c r="H5" s="37">
        <v>46447</v>
      </c>
      <c r="I5" s="37">
        <v>46478</v>
      </c>
      <c r="J5" s="37">
        <v>46508</v>
      </c>
      <c r="K5" s="37">
        <v>46539</v>
      </c>
      <c r="L5" s="37">
        <v>46569</v>
      </c>
      <c r="M5" s="37">
        <v>46600</v>
      </c>
      <c r="N5" s="37">
        <v>46631</v>
      </c>
      <c r="O5" s="37">
        <v>46661</v>
      </c>
      <c r="P5" s="37">
        <v>46692</v>
      </c>
      <c r="Q5" s="37">
        <v>46722</v>
      </c>
      <c r="R5" s="37">
        <v>46753</v>
      </c>
      <c r="S5" s="37">
        <v>46784</v>
      </c>
      <c r="T5" s="37">
        <v>46813</v>
      </c>
      <c r="U5" s="37">
        <v>46844</v>
      </c>
      <c r="V5" s="37">
        <v>46874</v>
      </c>
      <c r="W5" s="37">
        <v>46905</v>
      </c>
      <c r="X5" s="37">
        <v>46935</v>
      </c>
      <c r="Y5" s="37">
        <v>46966</v>
      </c>
      <c r="Z5" s="37">
        <v>46997</v>
      </c>
      <c r="AA5" s="37">
        <v>47027</v>
      </c>
      <c r="AB5" s="37">
        <v>47058</v>
      </c>
      <c r="AC5" s="37">
        <v>47088</v>
      </c>
      <c r="AD5" s="37">
        <v>47119</v>
      </c>
      <c r="AE5" s="37">
        <v>47150</v>
      </c>
      <c r="AF5" s="37">
        <v>47178</v>
      </c>
    </row>
    <row r="7" spans="2:32" ht="15" customHeight="1">
      <c r="B7" s="21" t="s">
        <v>328</v>
      </c>
      <c r="C7" s="28">
        <v>8000</v>
      </c>
      <c r="D7" s="28">
        <v>18000</v>
      </c>
      <c r="E7" s="28">
        <v>32000</v>
      </c>
      <c r="F7" s="28">
        <v>52000</v>
      </c>
      <c r="G7" s="28">
        <v>75000</v>
      </c>
      <c r="H7" s="27">
        <v>100000</v>
      </c>
      <c r="I7" s="28">
        <v>150000</v>
      </c>
      <c r="J7" s="28">
        <v>230000</v>
      </c>
      <c r="K7" s="28">
        <v>340000</v>
      </c>
      <c r="L7" s="28">
        <v>500000</v>
      </c>
      <c r="M7" s="28">
        <v>720000</v>
      </c>
      <c r="N7" s="27">
        <v>1000000</v>
      </c>
      <c r="O7" s="28">
        <v>1200000</v>
      </c>
      <c r="P7" s="28">
        <v>1450000</v>
      </c>
      <c r="Q7" s="28">
        <v>1720000</v>
      </c>
      <c r="R7" s="28">
        <v>2050000</v>
      </c>
      <c r="S7" s="28">
        <v>2500000</v>
      </c>
      <c r="T7" s="27">
        <v>3000000</v>
      </c>
      <c r="U7" s="28">
        <v>3150000</v>
      </c>
      <c r="V7" s="28">
        <v>3300000</v>
      </c>
      <c r="W7" s="28">
        <v>3450000</v>
      </c>
      <c r="X7" s="28">
        <v>3600000</v>
      </c>
      <c r="Y7" s="28">
        <v>3750000</v>
      </c>
      <c r="Z7" s="28">
        <v>3900000</v>
      </c>
      <c r="AA7" s="28">
        <v>4100000</v>
      </c>
      <c r="AB7" s="28">
        <v>4300000</v>
      </c>
      <c r="AC7" s="28">
        <v>4500000</v>
      </c>
      <c r="AD7" s="28">
        <v>4650000</v>
      </c>
      <c r="AE7" s="28">
        <v>4820000</v>
      </c>
      <c r="AF7" s="27">
        <v>5000000</v>
      </c>
    </row>
    <row r="8" spans="2:32" ht="15" customHeight="1">
      <c r="B8" t="s">
        <v>329</v>
      </c>
      <c r="C8" s="19">
        <f>C7*Assumptions!$C$5</f>
        <v>2000</v>
      </c>
      <c r="D8" s="19">
        <f>D7*Assumptions!$C$5</f>
        <v>4500</v>
      </c>
      <c r="E8" s="19">
        <f>E7*Assumptions!$C$5</f>
        <v>8000</v>
      </c>
      <c r="F8" s="19">
        <f>F7*Assumptions!$C$5</f>
        <v>13000</v>
      </c>
      <c r="G8" s="19">
        <f>G7*Assumptions!$C$5</f>
        <v>18750</v>
      </c>
      <c r="H8" s="19">
        <f>H7*Assumptions!$C$5</f>
        <v>25000</v>
      </c>
      <c r="I8" s="19">
        <f>I7*Assumptions!$C$5</f>
        <v>37500</v>
      </c>
      <c r="J8" s="19">
        <f>J7*Assumptions!$C$5</f>
        <v>57500</v>
      </c>
      <c r="K8" s="19">
        <f>K7*Assumptions!$C$5</f>
        <v>85000</v>
      </c>
      <c r="L8" s="19">
        <f>L7*Assumptions!$C$5</f>
        <v>125000</v>
      </c>
      <c r="M8" s="19">
        <f>M7*Assumptions!$C$5</f>
        <v>180000</v>
      </c>
      <c r="N8" s="19">
        <f>N7*Assumptions!$C$5</f>
        <v>250000</v>
      </c>
      <c r="O8" s="19">
        <f>O7*Assumptions!$C$5</f>
        <v>300000</v>
      </c>
      <c r="P8" s="19">
        <f>P7*Assumptions!$C$5</f>
        <v>362500</v>
      </c>
      <c r="Q8" s="19">
        <f>Q7*Assumptions!$C$5</f>
        <v>430000</v>
      </c>
      <c r="R8" s="19">
        <f>R7*Assumptions!$C$5</f>
        <v>512500</v>
      </c>
      <c r="S8" s="19">
        <f>S7*Assumptions!$C$5</f>
        <v>625000</v>
      </c>
      <c r="T8" s="19">
        <f>T7*Assumptions!$C$5</f>
        <v>750000</v>
      </c>
      <c r="U8" s="19">
        <f>U7*Assumptions!$C$5</f>
        <v>787500</v>
      </c>
      <c r="V8" s="19">
        <f>V7*Assumptions!$C$5</f>
        <v>825000</v>
      </c>
      <c r="W8" s="19">
        <f>W7*Assumptions!$C$5</f>
        <v>862500</v>
      </c>
      <c r="X8" s="19">
        <f>X7*Assumptions!$C$5</f>
        <v>900000</v>
      </c>
      <c r="Y8" s="19">
        <f>Y7*Assumptions!$C$5</f>
        <v>937500</v>
      </c>
      <c r="Z8" s="19">
        <f>Z7*Assumptions!$C$5</f>
        <v>975000</v>
      </c>
      <c r="AA8" s="19">
        <f>AA7*Assumptions!$C$5</f>
        <v>1025000</v>
      </c>
      <c r="AB8" s="19">
        <f>AB7*Assumptions!$C$5</f>
        <v>1075000</v>
      </c>
      <c r="AC8" s="19">
        <f>AC7*Assumptions!$C$5</f>
        <v>1125000</v>
      </c>
      <c r="AD8" s="19">
        <f>AD7*Assumptions!$C$5</f>
        <v>1162500</v>
      </c>
      <c r="AE8" s="19">
        <f>AE7*Assumptions!$C$5</f>
        <v>1205000</v>
      </c>
      <c r="AF8" s="19">
        <f>AF7*Assumptions!$C$5</f>
        <v>1250000</v>
      </c>
    </row>
    <row r="9" spans="2:32" ht="15" customHeight="1">
      <c r="B9" t="s">
        <v>330</v>
      </c>
      <c r="C9" s="19">
        <f>C7*Assumptions!$C$6</f>
        <v>3600</v>
      </c>
      <c r="D9" s="19">
        <f>D7*Assumptions!$C$6</f>
        <v>8100</v>
      </c>
      <c r="E9" s="19">
        <f>E7*Assumptions!$C$6</f>
        <v>14400</v>
      </c>
      <c r="F9" s="19">
        <f>F7*Assumptions!$C$6</f>
        <v>23400</v>
      </c>
      <c r="G9" s="19">
        <f>G7*Assumptions!$C$6</f>
        <v>33750</v>
      </c>
      <c r="H9" s="19">
        <f>H7*Assumptions!$C$6</f>
        <v>45000</v>
      </c>
      <c r="I9" s="19">
        <f>I7*Assumptions!$C$6</f>
        <v>67500</v>
      </c>
      <c r="J9" s="19">
        <f>J7*Assumptions!$C$6</f>
        <v>103500</v>
      </c>
      <c r="K9" s="19">
        <f>K7*Assumptions!$C$6</f>
        <v>153000</v>
      </c>
      <c r="L9" s="19">
        <f>L7*Assumptions!$C$6</f>
        <v>225000</v>
      </c>
      <c r="M9" s="19">
        <f>M7*Assumptions!$C$6</f>
        <v>324000</v>
      </c>
      <c r="N9" s="19">
        <f>N7*Assumptions!$C$6</f>
        <v>450000</v>
      </c>
      <c r="O9" s="19">
        <f>O7*Assumptions!$C$6</f>
        <v>540000</v>
      </c>
      <c r="P9" s="19">
        <f>P7*Assumptions!$C$6</f>
        <v>652500</v>
      </c>
      <c r="Q9" s="19">
        <f>Q7*Assumptions!$C$6</f>
        <v>774000</v>
      </c>
      <c r="R9" s="19">
        <f>R7*Assumptions!$C$6</f>
        <v>922500</v>
      </c>
      <c r="S9" s="19">
        <f>S7*Assumptions!$C$6</f>
        <v>1125000</v>
      </c>
      <c r="T9" s="19">
        <f>T7*Assumptions!$C$6</f>
        <v>1350000</v>
      </c>
      <c r="U9" s="19">
        <f>U7*Assumptions!$C$6</f>
        <v>1417500</v>
      </c>
      <c r="V9" s="19">
        <f>V7*Assumptions!$C$6</f>
        <v>1485000</v>
      </c>
      <c r="W9" s="19">
        <f>W7*Assumptions!$C$6</f>
        <v>1552500</v>
      </c>
      <c r="X9" s="19">
        <f>X7*Assumptions!$C$6</f>
        <v>1620000</v>
      </c>
      <c r="Y9" s="19">
        <f>Y7*Assumptions!$C$6</f>
        <v>1687500</v>
      </c>
      <c r="Z9" s="19">
        <f>Z7*Assumptions!$C$6</f>
        <v>1755000</v>
      </c>
      <c r="AA9" s="19">
        <f>AA7*Assumptions!$C$6</f>
        <v>1845000</v>
      </c>
      <c r="AB9" s="19">
        <f>AB7*Assumptions!$C$6</f>
        <v>1935000</v>
      </c>
      <c r="AC9" s="19">
        <f>AC7*Assumptions!$C$6</f>
        <v>2025000</v>
      </c>
      <c r="AD9" s="19">
        <f>AD7*Assumptions!$C$6</f>
        <v>2092500</v>
      </c>
      <c r="AE9" s="19">
        <f>AE7*Assumptions!$C$6</f>
        <v>2169000</v>
      </c>
      <c r="AF9" s="19">
        <f>AF7*Assumptions!$C$6</f>
        <v>2250000</v>
      </c>
    </row>
    <row r="10" spans="2:32" ht="15" customHeight="1">
      <c r="B10" s="21" t="s">
        <v>331</v>
      </c>
      <c r="C10" s="19">
        <f>C8*Assumptions!$C$7</f>
        <v>1400</v>
      </c>
      <c r="D10" s="19">
        <f>D8*Assumptions!$C$7</f>
        <v>3150</v>
      </c>
      <c r="E10" s="19">
        <f>E8*Assumptions!$C$7</f>
        <v>5600</v>
      </c>
      <c r="F10" s="19">
        <f>F8*Assumptions!$C$7</f>
        <v>9100</v>
      </c>
      <c r="G10" s="19">
        <f>G8*Assumptions!$C$7</f>
        <v>13125</v>
      </c>
      <c r="H10" s="19">
        <f>H8*Assumptions!$C$7</f>
        <v>17500</v>
      </c>
      <c r="I10" s="19">
        <f>I8*Assumptions!$C$7</f>
        <v>26250</v>
      </c>
      <c r="J10" s="19">
        <f>J8*Assumptions!$C$7</f>
        <v>40250</v>
      </c>
      <c r="K10" s="19">
        <f>K8*Assumptions!$C$7</f>
        <v>59499.999999999993</v>
      </c>
      <c r="L10" s="19">
        <f>L8*Assumptions!$C$7</f>
        <v>87500</v>
      </c>
      <c r="M10" s="19">
        <f>M8*Assumptions!$C$7</f>
        <v>125999.99999999999</v>
      </c>
      <c r="N10" s="19">
        <f>N8*Assumptions!$C$7</f>
        <v>175000</v>
      </c>
      <c r="O10" s="19">
        <f>O8*Assumptions!$C$7</f>
        <v>210000</v>
      </c>
      <c r="P10" s="19">
        <f>P8*Assumptions!$C$7</f>
        <v>253749.99999999997</v>
      </c>
      <c r="Q10" s="19">
        <f>Q8*Assumptions!$C$7</f>
        <v>301000</v>
      </c>
      <c r="R10" s="19">
        <f>R8*Assumptions!$C$7</f>
        <v>358750</v>
      </c>
      <c r="S10" s="19">
        <f>S8*Assumptions!$C$7</f>
        <v>437500</v>
      </c>
      <c r="T10" s="19">
        <f>T8*Assumptions!$C$7</f>
        <v>525000</v>
      </c>
      <c r="U10" s="19">
        <f>U8*Assumptions!$C$7</f>
        <v>551250</v>
      </c>
      <c r="V10" s="19">
        <f>V8*Assumptions!$C$7</f>
        <v>577500</v>
      </c>
      <c r="W10" s="19">
        <f>W8*Assumptions!$C$7</f>
        <v>603750</v>
      </c>
      <c r="X10" s="19">
        <f>X8*Assumptions!$C$7</f>
        <v>630000</v>
      </c>
      <c r="Y10" s="19">
        <f>Y8*Assumptions!$C$7</f>
        <v>656250</v>
      </c>
      <c r="Z10" s="19">
        <f>Z8*Assumptions!$C$7</f>
        <v>682500</v>
      </c>
      <c r="AA10" s="19">
        <f>AA8*Assumptions!$C$7</f>
        <v>717500</v>
      </c>
      <c r="AB10" s="19">
        <f>AB8*Assumptions!$C$7</f>
        <v>752500</v>
      </c>
      <c r="AC10" s="19">
        <f>AC8*Assumptions!$C$7</f>
        <v>787500</v>
      </c>
      <c r="AD10" s="19">
        <f>AD8*Assumptions!$C$7</f>
        <v>813750</v>
      </c>
      <c r="AE10" s="19">
        <f>AE8*Assumptions!$C$7</f>
        <v>843500</v>
      </c>
      <c r="AF10" s="19">
        <f>AF8*Assumptions!$C$7</f>
        <v>875000</v>
      </c>
    </row>
    <row r="11" spans="2:32" ht="15" customHeight="1">
      <c r="B11" s="21" t="s">
        <v>332</v>
      </c>
      <c r="C11" s="19">
        <f>C10*30.4</f>
        <v>42560</v>
      </c>
      <c r="D11" s="19">
        <f>D10*30.4</f>
        <v>95760</v>
      </c>
      <c r="E11" s="19">
        <f>E10*30.4</f>
        <v>170240</v>
      </c>
      <c r="F11" s="19">
        <f>F10*30.4</f>
        <v>276640</v>
      </c>
      <c r="G11" s="19">
        <f>G10*30.4</f>
        <v>399000</v>
      </c>
      <c r="H11" s="19">
        <f>H10*30.4</f>
        <v>532000</v>
      </c>
      <c r="I11" s="19">
        <f>I10*30.4</f>
        <v>798000</v>
      </c>
      <c r="J11" s="19">
        <f>J10*30.4</f>
        <v>1223600</v>
      </c>
      <c r="K11" s="19">
        <f>K10*30.4</f>
        <v>1808799.9999999998</v>
      </c>
      <c r="L11" s="19">
        <f>L10*30.4</f>
        <v>2660000</v>
      </c>
      <c r="M11" s="19">
        <f>M10*30.4</f>
        <v>3830399.9999999995</v>
      </c>
      <c r="N11" s="19">
        <f>N10*30.4</f>
        <v>5320000</v>
      </c>
      <c r="O11" s="19">
        <f>O10*30.4</f>
        <v>6384000</v>
      </c>
      <c r="P11" s="19">
        <f>P10*30.4</f>
        <v>7713999.9999999991</v>
      </c>
      <c r="Q11" s="19">
        <f>Q10*30.4</f>
        <v>9150400</v>
      </c>
      <c r="R11" s="19">
        <f>R10*30.4</f>
        <v>10906000</v>
      </c>
      <c r="S11" s="19">
        <f>S10*30.4</f>
        <v>13300000</v>
      </c>
      <c r="T11" s="19">
        <f>T10*30.4</f>
        <v>15960000</v>
      </c>
      <c r="U11" s="19">
        <f>U10*30.4</f>
        <v>16758000</v>
      </c>
      <c r="V11" s="19">
        <f>V10*30.4</f>
        <v>17556000</v>
      </c>
      <c r="W11" s="19">
        <f>W10*30.4</f>
        <v>18354000</v>
      </c>
      <c r="X11" s="19">
        <f>X10*30.4</f>
        <v>19152000</v>
      </c>
      <c r="Y11" s="19">
        <f>Y10*30.4</f>
        <v>19950000</v>
      </c>
      <c r="Z11" s="19">
        <f>Z10*30.4</f>
        <v>20748000</v>
      </c>
      <c r="AA11" s="19">
        <f>AA10*30.4</f>
        <v>21812000</v>
      </c>
      <c r="AB11" s="19">
        <f>AB10*30.4</f>
        <v>22876000</v>
      </c>
      <c r="AC11" s="19">
        <f>AC10*30.4</f>
        <v>23940000</v>
      </c>
      <c r="AD11" s="19">
        <f>AD10*30.4</f>
        <v>24738000</v>
      </c>
      <c r="AE11" s="19">
        <f>AE10*30.4</f>
        <v>25642400</v>
      </c>
      <c r="AF11" s="19">
        <f>AF10*30.4</f>
        <v>26600000</v>
      </c>
    </row>
    <row r="12" spans="2:32" ht="15" customHeight="1">
      <c r="B12" t="s">
        <v>333</v>
      </c>
      <c r="C12" s="19">
        <f>C11*Assumptions!$C$12</f>
        <v>23408.000000000004</v>
      </c>
      <c r="D12" s="19">
        <f>D11*Assumptions!$C$12</f>
        <v>52668.000000000007</v>
      </c>
      <c r="E12" s="19">
        <f>E11*Assumptions!$C$12</f>
        <v>93632.000000000015</v>
      </c>
      <c r="F12" s="19">
        <f>F11*Assumptions!$C$12</f>
        <v>152152</v>
      </c>
      <c r="G12" s="19">
        <f>G11*Assumptions!$C$12</f>
        <v>219450.00000000003</v>
      </c>
      <c r="H12" s="19">
        <f>H11*Assumptions!$C$12</f>
        <v>292600</v>
      </c>
      <c r="I12" s="19">
        <f>I11*Assumptions!$C$12</f>
        <v>438900.00000000006</v>
      </c>
      <c r="J12" s="19">
        <f>J11*Assumptions!$C$12</f>
        <v>672980</v>
      </c>
      <c r="K12" s="19">
        <f>K11*Assumptions!$C$12</f>
        <v>994840</v>
      </c>
      <c r="L12" s="19">
        <f>L11*Assumptions!$C$12</f>
        <v>1463000.0000000002</v>
      </c>
      <c r="M12" s="19">
        <f>M11*Assumptions!$C$12</f>
        <v>2106720</v>
      </c>
      <c r="N12" s="19">
        <f>N11*Assumptions!$C$12</f>
        <v>2926000.0000000005</v>
      </c>
      <c r="O12" s="19">
        <f>O11*Assumptions!$C$12</f>
        <v>3511200.0000000005</v>
      </c>
      <c r="P12" s="19">
        <f>P11*Assumptions!$C$12</f>
        <v>4242700</v>
      </c>
      <c r="Q12" s="19">
        <f>Q11*Assumptions!$C$12</f>
        <v>5032720</v>
      </c>
      <c r="R12" s="19">
        <f>R11*Assumptions!$C$12</f>
        <v>5998300.0000000009</v>
      </c>
      <c r="S12" s="19">
        <f>S11*Assumptions!$C$12</f>
        <v>7315000.0000000009</v>
      </c>
      <c r="T12" s="19">
        <f>T11*Assumptions!$C$12</f>
        <v>8778000</v>
      </c>
      <c r="U12" s="19">
        <f>U11*Assumptions!$C$12</f>
        <v>9216900</v>
      </c>
      <c r="V12" s="19">
        <f>V11*Assumptions!$C$12</f>
        <v>9655800</v>
      </c>
      <c r="W12" s="19">
        <f>W11*Assumptions!$C$12</f>
        <v>10094700</v>
      </c>
      <c r="X12" s="19">
        <f>X11*Assumptions!$C$12</f>
        <v>10533600</v>
      </c>
      <c r="Y12" s="19">
        <f>Y11*Assumptions!$C$12</f>
        <v>10972500</v>
      </c>
      <c r="Z12" s="19">
        <f>Z11*Assumptions!$C$12</f>
        <v>11411400</v>
      </c>
      <c r="AA12" s="19">
        <f>AA11*Assumptions!$C$12</f>
        <v>11996600.000000002</v>
      </c>
      <c r="AB12" s="19">
        <f>AB11*Assumptions!$C$12</f>
        <v>12581800.000000002</v>
      </c>
      <c r="AC12" s="19">
        <f>AC11*Assumptions!$C$12</f>
        <v>13167000.000000002</v>
      </c>
      <c r="AD12" s="19">
        <f>AD11*Assumptions!$C$12</f>
        <v>13605900.000000002</v>
      </c>
      <c r="AE12" s="19">
        <f>AE11*Assumptions!$C$12</f>
        <v>14103320.000000002</v>
      </c>
      <c r="AF12" s="19">
        <f>AF11*Assumptions!$C$12</f>
        <v>14630000.000000002</v>
      </c>
    </row>
    <row r="13" spans="2:32" ht="15" customHeight="1">
      <c r="B13" t="s">
        <v>334</v>
      </c>
      <c r="C13" s="19">
        <f>C11*Assumptions!$C$13</f>
        <v>14895.999999999998</v>
      </c>
      <c r="D13" s="19">
        <f>D11*Assumptions!$C$13</f>
        <v>33516</v>
      </c>
      <c r="E13" s="19">
        <f>E11*Assumptions!$C$13</f>
        <v>59583.999999999993</v>
      </c>
      <c r="F13" s="19">
        <f>F11*Assumptions!$C$13</f>
        <v>96824</v>
      </c>
      <c r="G13" s="19">
        <f>G11*Assumptions!$C$13</f>
        <v>139650</v>
      </c>
      <c r="H13" s="19">
        <f>H11*Assumptions!$C$13</f>
        <v>186200</v>
      </c>
      <c r="I13" s="19">
        <f>I11*Assumptions!$C$13</f>
        <v>279300</v>
      </c>
      <c r="J13" s="19">
        <f>J11*Assumptions!$C$13</f>
        <v>428260</v>
      </c>
      <c r="K13" s="19">
        <f>K11*Assumptions!$C$13</f>
        <v>633079.99999999988</v>
      </c>
      <c r="L13" s="19">
        <f>L11*Assumptions!$C$13</f>
        <v>930999.99999999988</v>
      </c>
      <c r="M13" s="19">
        <f>M11*Assumptions!$C$13</f>
        <v>1340639.9999999998</v>
      </c>
      <c r="N13" s="19">
        <f>N11*Assumptions!$C$13</f>
        <v>1861999.9999999998</v>
      </c>
      <c r="O13" s="19">
        <f>O11*Assumptions!$C$13</f>
        <v>2234400</v>
      </c>
      <c r="P13" s="19">
        <f>P11*Assumptions!$C$13</f>
        <v>2699899.9999999995</v>
      </c>
      <c r="Q13" s="19">
        <f>Q11*Assumptions!$C$13</f>
        <v>3202640</v>
      </c>
      <c r="R13" s="19">
        <f>R11*Assumptions!$C$13</f>
        <v>3817099.9999999995</v>
      </c>
      <c r="S13" s="19">
        <f>S11*Assumptions!$C$13</f>
        <v>4655000</v>
      </c>
      <c r="T13" s="19">
        <f>T11*Assumptions!$C$13</f>
        <v>5586000</v>
      </c>
      <c r="U13" s="19">
        <f>U11*Assumptions!$C$13</f>
        <v>5865300</v>
      </c>
      <c r="V13" s="19">
        <f>V11*Assumptions!$C$13</f>
        <v>6144600</v>
      </c>
      <c r="W13" s="19">
        <f>W11*Assumptions!$C$13</f>
        <v>6423900</v>
      </c>
      <c r="X13" s="19">
        <f>X11*Assumptions!$C$13</f>
        <v>6703200</v>
      </c>
      <c r="Y13" s="19">
        <f>Y11*Assumptions!$C$13</f>
        <v>6982500</v>
      </c>
      <c r="Z13" s="19">
        <f>Z11*Assumptions!$C$13</f>
        <v>7261800</v>
      </c>
      <c r="AA13" s="19">
        <f>AA11*Assumptions!$C$13</f>
        <v>7634199.9999999991</v>
      </c>
      <c r="AB13" s="19">
        <f>AB11*Assumptions!$C$13</f>
        <v>8006599.9999999991</v>
      </c>
      <c r="AC13" s="19">
        <f>AC11*Assumptions!$C$13</f>
        <v>8378999.9999999991</v>
      </c>
      <c r="AD13" s="19">
        <f>AD11*Assumptions!$C$13</f>
        <v>8658300</v>
      </c>
      <c r="AE13" s="19">
        <f>AE11*Assumptions!$C$13</f>
        <v>8974840</v>
      </c>
      <c r="AF13" s="19">
        <f>AF11*Assumptions!$C$13</f>
        <v>9310000</v>
      </c>
    </row>
    <row r="14" spans="2:32" ht="15" customHeight="1">
      <c r="B14" t="s">
        <v>335</v>
      </c>
      <c r="C14" s="19">
        <f>C11*Assumptions!$C$14</f>
        <v>4256</v>
      </c>
      <c r="D14" s="19">
        <f>D11*Assumptions!$C$14</f>
        <v>9576</v>
      </c>
      <c r="E14" s="19">
        <f>E11*Assumptions!$C$14</f>
        <v>17024</v>
      </c>
      <c r="F14" s="19">
        <f>F11*Assumptions!$C$14</f>
        <v>27664</v>
      </c>
      <c r="G14" s="19">
        <f>G11*Assumptions!$C$14</f>
        <v>39900</v>
      </c>
      <c r="H14" s="19">
        <f>H11*Assumptions!$C$14</f>
        <v>53200</v>
      </c>
      <c r="I14" s="19">
        <f>I11*Assumptions!$C$14</f>
        <v>79800</v>
      </c>
      <c r="J14" s="19">
        <f>J11*Assumptions!$C$14</f>
        <v>122360</v>
      </c>
      <c r="K14" s="19">
        <f>K11*Assumptions!$C$14</f>
        <v>180880</v>
      </c>
      <c r="L14" s="19">
        <f>L11*Assumptions!$C$14</f>
        <v>266000</v>
      </c>
      <c r="M14" s="19">
        <f>M11*Assumptions!$C$14</f>
        <v>383040</v>
      </c>
      <c r="N14" s="19">
        <f>N11*Assumptions!$C$14</f>
        <v>532000</v>
      </c>
      <c r="O14" s="19">
        <f>O11*Assumptions!$C$14</f>
        <v>638400</v>
      </c>
      <c r="P14" s="19">
        <f>P11*Assumptions!$C$14</f>
        <v>771400</v>
      </c>
      <c r="Q14" s="19">
        <f>Q11*Assumptions!$C$14</f>
        <v>915040</v>
      </c>
      <c r="R14" s="19">
        <f>R11*Assumptions!$C$14</f>
        <v>1090600</v>
      </c>
      <c r="S14" s="19">
        <f>S11*Assumptions!$C$14</f>
        <v>1330000</v>
      </c>
      <c r="T14" s="19">
        <f>T11*Assumptions!$C$14</f>
        <v>1596000</v>
      </c>
      <c r="U14" s="19">
        <f>U11*Assumptions!$C$14</f>
        <v>1675800</v>
      </c>
      <c r="V14" s="19">
        <f>V11*Assumptions!$C$14</f>
        <v>1755600</v>
      </c>
      <c r="W14" s="19">
        <f>W11*Assumptions!$C$14</f>
        <v>1835400</v>
      </c>
      <c r="X14" s="19">
        <f>X11*Assumptions!$C$14</f>
        <v>1915200</v>
      </c>
      <c r="Y14" s="19">
        <f>Y11*Assumptions!$C$14</f>
        <v>1995000</v>
      </c>
      <c r="Z14" s="19">
        <f>Z11*Assumptions!$C$14</f>
        <v>2074800</v>
      </c>
      <c r="AA14" s="19">
        <f>AA11*Assumptions!$C$14</f>
        <v>2181200</v>
      </c>
      <c r="AB14" s="19">
        <f>AB11*Assumptions!$C$14</f>
        <v>2287600</v>
      </c>
      <c r="AC14" s="19">
        <f>AC11*Assumptions!$C$14</f>
        <v>2394000</v>
      </c>
      <c r="AD14" s="19">
        <f>AD11*Assumptions!$C$14</f>
        <v>2473800</v>
      </c>
      <c r="AE14" s="19">
        <f>AE11*Assumptions!$C$14</f>
        <v>2564240</v>
      </c>
      <c r="AF14" s="19">
        <f>AF11*Assumptions!$C$14</f>
        <v>2660000</v>
      </c>
    </row>
    <row r="15" spans="2:32" ht="15" customHeight="1">
      <c r="B15" t="s">
        <v>336</v>
      </c>
      <c r="C15" s="19">
        <f>C12*Assumptions!$C$16/1048576+C13*Assumptions!$C$18/1048576+C14*Assumptions!$C$17/1048576</f>
        <v>11.029891967773439</v>
      </c>
      <c r="D15" s="19">
        <f>D12*Assumptions!$C$16/1048576+D13*Assumptions!$C$18/1048576+D14*Assumptions!$C$17/1048576</f>
        <v>24.817256927490238</v>
      </c>
      <c r="E15" s="19">
        <f>E12*Assumptions!$C$16/1048576+E13*Assumptions!$C$18/1048576+E14*Assumptions!$C$17/1048576</f>
        <v>44.119567871093757</v>
      </c>
      <c r="F15" s="19">
        <f>F12*Assumptions!$C$16/1048576+F13*Assumptions!$C$18/1048576+F14*Assumptions!$C$17/1048576</f>
        <v>71.694297790527344</v>
      </c>
      <c r="G15" s="19">
        <f>G12*Assumptions!$C$16/1048576+G13*Assumptions!$C$18/1048576+G14*Assumptions!$C$17/1048576</f>
        <v>103.40523719787599</v>
      </c>
      <c r="H15" s="19">
        <f>H12*Assumptions!$C$16/1048576+H13*Assumptions!$C$18/1048576+H14*Assumptions!$C$17/1048576</f>
        <v>137.87364959716797</v>
      </c>
      <c r="I15" s="19">
        <f>I12*Assumptions!$C$16/1048576+I13*Assumptions!$C$18/1048576+I14*Assumptions!$C$17/1048576</f>
        <v>206.81047439575198</v>
      </c>
      <c r="J15" s="19">
        <f>J12*Assumptions!$C$16/1048576+J13*Assumptions!$C$18/1048576+J14*Assumptions!$C$17/1048576</f>
        <v>317.10939407348633</v>
      </c>
      <c r="K15" s="19">
        <f>K12*Assumptions!$C$16/1048576+K13*Assumptions!$C$18/1048576+K14*Assumptions!$C$17/1048576</f>
        <v>468.77040863037109</v>
      </c>
      <c r="L15" s="19">
        <f>L12*Assumptions!$C$16/1048576+L13*Assumptions!$C$18/1048576+L14*Assumptions!$C$17/1048576</f>
        <v>689.36824798583996</v>
      </c>
      <c r="M15" s="19">
        <f>M12*Assumptions!$C$16/1048576+M13*Assumptions!$C$18/1048576+M14*Assumptions!$C$17/1048576</f>
        <v>992.69027709960938</v>
      </c>
      <c r="N15" s="19">
        <f>N12*Assumptions!$C$16/1048576+N13*Assumptions!$C$18/1048576+N14*Assumptions!$C$17/1048576</f>
        <v>1378.7364959716799</v>
      </c>
      <c r="O15" s="19">
        <f>O12*Assumptions!$C$16/1048576+O13*Assumptions!$C$18/1048576+O14*Assumptions!$C$17/1048576</f>
        <v>1654.4837951660159</v>
      </c>
      <c r="P15" s="19">
        <f>P12*Assumptions!$C$16/1048576+P13*Assumptions!$C$18/1048576+P14*Assumptions!$C$17/1048576</f>
        <v>1999.1679191589355</v>
      </c>
      <c r="Q15" s="19">
        <f>Q12*Assumptions!$C$16/1048576+Q13*Assumptions!$C$18/1048576+Q14*Assumptions!$C$17/1048576</f>
        <v>2371.4267730712891</v>
      </c>
      <c r="R15" s="19">
        <f>R12*Assumptions!$C$16/1048576+R13*Assumptions!$C$18/1048576+R14*Assumptions!$C$17/1048576</f>
        <v>2826.4098167419438</v>
      </c>
      <c r="S15" s="19">
        <f>S12*Assumptions!$C$16/1048576+S13*Assumptions!$C$18/1048576+S14*Assumptions!$C$17/1048576</f>
        <v>3446.8412399291997</v>
      </c>
      <c r="T15" s="19">
        <f>T12*Assumptions!$C$16/1048576+T13*Assumptions!$C$18/1048576+T14*Assumptions!$C$17/1048576</f>
        <v>4136.2094879150391</v>
      </c>
      <c r="U15" s="19">
        <f>U12*Assumptions!$C$16/1048576+U13*Assumptions!$C$18/1048576+U14*Assumptions!$C$17/1048576</f>
        <v>4343.019962310791</v>
      </c>
      <c r="V15" s="19">
        <f>V12*Assumptions!$C$16/1048576+V13*Assumptions!$C$18/1048576+V14*Assumptions!$C$17/1048576</f>
        <v>4549.830436706543</v>
      </c>
      <c r="W15" s="19">
        <f>W12*Assumptions!$C$16/1048576+W13*Assumptions!$C$18/1048576+W14*Assumptions!$C$17/1048576</f>
        <v>4756.6409111022949</v>
      </c>
      <c r="X15" s="19">
        <f>X12*Assumptions!$C$16/1048576+X13*Assumptions!$C$18/1048576+X14*Assumptions!$C$17/1048576</f>
        <v>4963.4513854980469</v>
      </c>
      <c r="Y15" s="19">
        <f>Y12*Assumptions!$C$16/1048576+Y13*Assumptions!$C$18/1048576+Y14*Assumptions!$C$17/1048576</f>
        <v>5170.2618598937988</v>
      </c>
      <c r="Z15" s="19">
        <f>Z12*Assumptions!$C$16/1048576+Z13*Assumptions!$C$18/1048576+Z14*Assumptions!$C$17/1048576</f>
        <v>5377.0723342895508</v>
      </c>
      <c r="AA15" s="19">
        <f>AA12*Assumptions!$C$16/1048576+AA13*Assumptions!$C$18/1048576+AA14*Assumptions!$C$17/1048576</f>
        <v>5652.8196334838876</v>
      </c>
      <c r="AB15" s="19">
        <f>AB12*Assumptions!$C$16/1048576+AB13*Assumptions!$C$18/1048576+AB14*Assumptions!$C$17/1048576</f>
        <v>5928.5669326782236</v>
      </c>
      <c r="AC15" s="19">
        <f>AC12*Assumptions!$C$16/1048576+AC13*Assumptions!$C$18/1048576+AC14*Assumptions!$C$17/1048576</f>
        <v>6204.3142318725595</v>
      </c>
      <c r="AD15" s="19">
        <f>AD12*Assumptions!$C$16/1048576+AD13*Assumptions!$C$18/1048576+AD14*Assumptions!$C$17/1048576</f>
        <v>6411.1247062683115</v>
      </c>
      <c r="AE15" s="19">
        <f>AE12*Assumptions!$C$16/1048576+AE13*Assumptions!$C$18/1048576+AE14*Assumptions!$C$17/1048576</f>
        <v>6645.509910583497</v>
      </c>
      <c r="AF15" s="19">
        <f>AF12*Assumptions!$C$16/1048576+AF13*Assumptions!$C$18/1048576+AF14*Assumptions!$C$17/1048576</f>
        <v>6893.6824798583993</v>
      </c>
    </row>
    <row r="16" spans="2:32" ht="15" customHeight="1">
      <c r="B16" s="21" t="s">
        <v>337</v>
      </c>
      <c r="C16" s="19">
        <f>C15</f>
        <v>11.029891967773439</v>
      </c>
      <c r="D16" s="19">
        <f>C16+D15</f>
        <v>35.847148895263679</v>
      </c>
      <c r="E16" s="19">
        <f>D16+E15</f>
        <v>79.966716766357436</v>
      </c>
      <c r="F16" s="19">
        <f>E16+F15</f>
        <v>151.66101455688477</v>
      </c>
      <c r="G16" s="19">
        <f>F16+G15</f>
        <v>255.06625175476074</v>
      </c>
      <c r="H16" s="19">
        <f>G16+H15</f>
        <v>392.93990135192871</v>
      </c>
      <c r="I16" s="19">
        <f>H16+I15</f>
        <v>599.75037574768066</v>
      </c>
      <c r="J16" s="19">
        <f>I16+J15</f>
        <v>916.85976982116699</v>
      </c>
      <c r="K16" s="19">
        <f>J16+K15</f>
        <v>1385.6301784515381</v>
      </c>
      <c r="L16" s="19">
        <f>K16+L15</f>
        <v>2074.9984264373779</v>
      </c>
      <c r="M16" s="19">
        <f>L16+M15</f>
        <v>3067.6887035369873</v>
      </c>
      <c r="N16" s="19">
        <f>M16+N15</f>
        <v>4446.425199508667</v>
      </c>
      <c r="O16" s="19">
        <f>N16+O15</f>
        <v>6100.9089946746826</v>
      </c>
      <c r="P16" s="19">
        <f>O16+P15</f>
        <v>8100.0769138336182</v>
      </c>
      <c r="Q16" s="19">
        <f>P16+Q15</f>
        <v>10471.503686904907</v>
      </c>
      <c r="R16" s="19">
        <f>Q16+R15</f>
        <v>13297.913503646851</v>
      </c>
      <c r="S16" s="19">
        <f>R16+S15</f>
        <v>16744.75474357605</v>
      </c>
      <c r="T16" s="19">
        <f>S16+T15</f>
        <v>20880.964231491089</v>
      </c>
      <c r="U16" s="19">
        <f>T16+U15</f>
        <v>25223.98419380188</v>
      </c>
      <c r="V16" s="19">
        <f>U16+V15</f>
        <v>29773.814630508423</v>
      </c>
      <c r="W16" s="19">
        <f>V16+W15</f>
        <v>34530.455541610718</v>
      </c>
      <c r="X16" s="19">
        <f>W16+X15</f>
        <v>39493.906927108765</v>
      </c>
      <c r="Y16" s="19">
        <f>X16+Y15</f>
        <v>44664.168787002563</v>
      </c>
      <c r="Z16" s="19">
        <f>Y16+Z15</f>
        <v>50041.241121292114</v>
      </c>
      <c r="AA16" s="19">
        <f>Z16+AA15</f>
        <v>55694.060754776001</v>
      </c>
      <c r="AB16" s="19">
        <f>AA16+AB15</f>
        <v>61622.627687454224</v>
      </c>
      <c r="AC16" s="19">
        <f>AB16+AC15</f>
        <v>67826.941919326782</v>
      </c>
      <c r="AD16" s="19">
        <f>AC16+AD15</f>
        <v>74238.066625595093</v>
      </c>
      <c r="AE16" s="19">
        <f>AD16+AE15</f>
        <v>80883.576536178589</v>
      </c>
      <c r="AF16" s="19">
        <f>AE16+AF15</f>
        <v>87777.259016036987</v>
      </c>
    </row>
    <row r="17" spans="2:32" ht="15" customHeight="1">
      <c r="B17" t="s">
        <v>338</v>
      </c>
      <c r="C17" s="19">
        <f>C8*Assumptions!$C$20*Assumptions!$C$19/1048576*30.4</f>
        <v>333.984375</v>
      </c>
      <c r="D17" s="19">
        <f>D8*Assumptions!$C$20*Assumptions!$C$19/1048576*30.4</f>
        <v>751.46484375</v>
      </c>
      <c r="E17" s="19">
        <f>E8*Assumptions!$C$20*Assumptions!$C$19/1048576*30.4</f>
        <v>1335.9375</v>
      </c>
      <c r="F17" s="19">
        <f>F8*Assumptions!$C$20*Assumptions!$C$19/1048576*30.4</f>
        <v>2170.8984375</v>
      </c>
      <c r="G17" s="19">
        <f>G8*Assumptions!$C$20*Assumptions!$C$19/1048576*30.4</f>
        <v>3131.103515625</v>
      </c>
      <c r="H17" s="19">
        <f>H8*Assumptions!$C$20*Assumptions!$C$19/1048576*30.4</f>
        <v>4174.8046875</v>
      </c>
      <c r="I17" s="19">
        <f>I8*Assumptions!$C$20*Assumptions!$C$19/1048576*30.4</f>
        <v>6262.20703125</v>
      </c>
      <c r="J17" s="19">
        <f>J8*Assumptions!$C$20*Assumptions!$C$19/1048576*30.4</f>
        <v>9602.05078125</v>
      </c>
      <c r="K17" s="19">
        <f>K8*Assumptions!$C$20*Assumptions!$C$19/1048576*30.4</f>
        <v>14194.3359375</v>
      </c>
      <c r="L17" s="19">
        <f>L8*Assumptions!$C$20*Assumptions!$C$19/1048576*30.4</f>
        <v>20874.0234375</v>
      </c>
      <c r="M17" s="19">
        <f>M8*Assumptions!$C$20*Assumptions!$C$19/1048576*30.4</f>
        <v>30058.59375</v>
      </c>
      <c r="N17" s="19">
        <f>N8*Assumptions!$C$20*Assumptions!$C$19/1048576*30.4</f>
        <v>41748.046875</v>
      </c>
      <c r="O17" s="19">
        <f>O8*Assumptions!$C$20*Assumptions!$C$19/1048576*30.4</f>
        <v>50097.65625</v>
      </c>
      <c r="P17" s="19">
        <f>P8*Assumptions!$C$20*Assumptions!$C$19/1048576*30.4</f>
        <v>60534.66796875</v>
      </c>
      <c r="Q17" s="19">
        <f>Q8*Assumptions!$C$20*Assumptions!$C$19/1048576*30.4</f>
        <v>71806.640625</v>
      </c>
      <c r="R17" s="19">
        <f>R8*Assumptions!$C$20*Assumptions!$C$19/1048576*30.4</f>
        <v>85583.49609375</v>
      </c>
      <c r="S17" s="19">
        <f>S8*Assumptions!$C$20*Assumptions!$C$19/1048576*30.4</f>
        <v>104370.1171875</v>
      </c>
      <c r="T17" s="19">
        <f>T8*Assumptions!$C$20*Assumptions!$C$19/1048576*30.4</f>
        <v>125244.140625</v>
      </c>
      <c r="U17" s="19">
        <f>U8*Assumptions!$C$20*Assumptions!$C$19/1048576*30.4</f>
        <v>131506.34765625</v>
      </c>
      <c r="V17" s="19">
        <f>V8*Assumptions!$C$20*Assumptions!$C$19/1048576*30.4</f>
        <v>137768.5546875</v>
      </c>
      <c r="W17" s="19">
        <f>W8*Assumptions!$C$20*Assumptions!$C$19/1048576*30.4</f>
        <v>144030.76171875</v>
      </c>
      <c r="X17" s="19">
        <f>X8*Assumptions!$C$20*Assumptions!$C$19/1048576*30.4</f>
        <v>150292.96875</v>
      </c>
      <c r="Y17" s="19">
        <f>Y8*Assumptions!$C$20*Assumptions!$C$19/1048576*30.4</f>
        <v>156555.17578125</v>
      </c>
      <c r="Z17" s="19">
        <f>Z8*Assumptions!$C$20*Assumptions!$C$19/1048576*30.4</f>
        <v>162817.3828125</v>
      </c>
      <c r="AA17" s="19">
        <f>AA8*Assumptions!$C$20*Assumptions!$C$19/1048576*30.4</f>
        <v>171166.9921875</v>
      </c>
      <c r="AB17" s="19">
        <f>AB8*Assumptions!$C$20*Assumptions!$C$19/1048576*30.4</f>
        <v>179516.6015625</v>
      </c>
      <c r="AC17" s="19">
        <f>AC8*Assumptions!$C$20*Assumptions!$C$19/1048576*30.4</f>
        <v>187866.2109375</v>
      </c>
      <c r="AD17" s="19">
        <f>AD8*Assumptions!$C$20*Assumptions!$C$19/1048576*30.4</f>
        <v>194128.41796875</v>
      </c>
      <c r="AE17" s="19">
        <f>AE8*Assumptions!$C$20*Assumptions!$C$19/1048576*30.4</f>
        <v>201225.5859375</v>
      </c>
      <c r="AF17" s="19">
        <f>AF8*Assumptions!$C$20*Assumptions!$C$19/1048576*30.4</f>
        <v>208740.234375</v>
      </c>
    </row>
    <row r="18" spans="2:32" ht="15" customHeight="1">
      <c r="B18" t="s">
        <v>339</v>
      </c>
      <c r="C18" s="38">
        <f>C8*Assumptions!$C$22*30.4/1000000</f>
        <v>3.6480000000000001</v>
      </c>
      <c r="D18" s="38">
        <f>D8*Assumptions!$C$22*30.4/1000000</f>
        <v>8.2080000000000002</v>
      </c>
      <c r="E18" s="38">
        <f>E8*Assumptions!$C$22*30.4/1000000</f>
        <v>14.592000000000001</v>
      </c>
      <c r="F18" s="38">
        <f>F8*Assumptions!$C$22*30.4/1000000</f>
        <v>23.712</v>
      </c>
      <c r="G18" s="38">
        <f>G8*Assumptions!$C$22*30.4/1000000</f>
        <v>34.200000000000003</v>
      </c>
      <c r="H18" s="38">
        <f>H8*Assumptions!$C$22*30.4/1000000</f>
        <v>45.6</v>
      </c>
      <c r="I18" s="38">
        <f>I8*Assumptions!$C$22*30.4/1000000</f>
        <v>68.400000000000006</v>
      </c>
      <c r="J18" s="38">
        <f>J8*Assumptions!$C$22*30.4/1000000</f>
        <v>104.88</v>
      </c>
      <c r="K18" s="38">
        <f>K8*Assumptions!$C$22*30.4/1000000</f>
        <v>155.04</v>
      </c>
      <c r="L18" s="38">
        <f>L8*Assumptions!$C$22*30.4/1000000</f>
        <v>228</v>
      </c>
      <c r="M18" s="38">
        <f>M8*Assumptions!$C$22*30.4/1000000</f>
        <v>328.32</v>
      </c>
      <c r="N18" s="38">
        <f>N8*Assumptions!$C$22*30.4/1000000</f>
        <v>456</v>
      </c>
      <c r="O18" s="38">
        <f>O8*Assumptions!$C$22*30.4/1000000</f>
        <v>547.20000000000005</v>
      </c>
      <c r="P18" s="38">
        <f>P8*Assumptions!$C$22*30.4/1000000</f>
        <v>661.2</v>
      </c>
      <c r="Q18" s="38">
        <f>Q8*Assumptions!$C$22*30.4/1000000</f>
        <v>784.32</v>
      </c>
      <c r="R18" s="38">
        <f>R8*Assumptions!$C$22*30.4/1000000</f>
        <v>934.8</v>
      </c>
      <c r="S18" s="38">
        <f>S8*Assumptions!$C$22*30.4/1000000</f>
        <v>1140</v>
      </c>
      <c r="T18" s="38">
        <f>T8*Assumptions!$C$22*30.4/1000000</f>
        <v>1368</v>
      </c>
      <c r="U18" s="38">
        <f>U8*Assumptions!$C$22*30.4/1000000</f>
        <v>1436.4</v>
      </c>
      <c r="V18" s="38">
        <f>V8*Assumptions!$C$22*30.4/1000000</f>
        <v>1504.8</v>
      </c>
      <c r="W18" s="38">
        <f>W8*Assumptions!$C$22*30.4/1000000</f>
        <v>1573.2</v>
      </c>
      <c r="X18" s="38">
        <f>X8*Assumptions!$C$22*30.4/1000000</f>
        <v>1641.6</v>
      </c>
      <c r="Y18" s="38">
        <f>Y8*Assumptions!$C$22*30.4/1000000</f>
        <v>1710</v>
      </c>
      <c r="Z18" s="38">
        <f>Z8*Assumptions!$C$22*30.4/1000000</f>
        <v>1778.4</v>
      </c>
      <c r="AA18" s="38">
        <f>AA8*Assumptions!$C$22*30.4/1000000</f>
        <v>1869.6</v>
      </c>
      <c r="AB18" s="38">
        <f>AB8*Assumptions!$C$22*30.4/1000000</f>
        <v>1960.8</v>
      </c>
      <c r="AC18" s="38">
        <f>AC8*Assumptions!$C$22*30.4/1000000</f>
        <v>2052</v>
      </c>
      <c r="AD18" s="38">
        <f>AD8*Assumptions!$C$22*30.4/1000000</f>
        <v>2120.4</v>
      </c>
      <c r="AE18" s="38">
        <f>AE8*Assumptions!$C$22*30.4/1000000</f>
        <v>2197.92</v>
      </c>
      <c r="AF18" s="38">
        <f>AF8*Assumptions!$C$22*30.4/1000000</f>
        <v>2280</v>
      </c>
    </row>
    <row r="19" spans="2:32" ht="15" customHeight="1">
      <c r="B19" t="s">
        <v>340</v>
      </c>
      <c r="C19" s="28">
        <v>0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1</v>
      </c>
      <c r="P19" s="28">
        <v>1</v>
      </c>
      <c r="Q19" s="28">
        <v>2</v>
      </c>
      <c r="R19" s="28">
        <v>2</v>
      </c>
      <c r="S19" s="28">
        <v>2</v>
      </c>
      <c r="T19" s="28">
        <v>3</v>
      </c>
      <c r="U19" s="28">
        <v>3</v>
      </c>
      <c r="V19" s="28">
        <v>3</v>
      </c>
      <c r="W19" s="28">
        <v>4</v>
      </c>
      <c r="X19" s="28">
        <v>4</v>
      </c>
      <c r="Y19" s="28">
        <v>4</v>
      </c>
      <c r="Z19" s="28">
        <v>5</v>
      </c>
      <c r="AA19" s="28">
        <v>5</v>
      </c>
      <c r="AB19" s="28">
        <v>5</v>
      </c>
      <c r="AC19" s="28">
        <v>6</v>
      </c>
      <c r="AD19" s="28">
        <v>6</v>
      </c>
      <c r="AE19" s="28">
        <v>6</v>
      </c>
      <c r="AF19" s="28">
        <v>7</v>
      </c>
    </row>
    <row r="20" spans="2:32" ht="15" customHeight="1">
      <c r="B20" t="s">
        <v>341</v>
      </c>
      <c r="C20" s="19">
        <f>C19*Assumptions!$C$97</f>
        <v>0</v>
      </c>
      <c r="D20" s="19">
        <f>D19*Assumptions!$C$97</f>
        <v>0</v>
      </c>
      <c r="E20" s="19">
        <f>E19*Assumptions!$C$97</f>
        <v>0</v>
      </c>
      <c r="F20" s="19">
        <f>F19*Assumptions!$C$97</f>
        <v>0</v>
      </c>
      <c r="G20" s="19">
        <f>G19*Assumptions!$C$97</f>
        <v>0</v>
      </c>
      <c r="H20" s="19">
        <f>H19*Assumptions!$C$97</f>
        <v>0</v>
      </c>
      <c r="I20" s="19">
        <f>I19*Assumptions!$C$97</f>
        <v>0</v>
      </c>
      <c r="J20" s="19">
        <f>J19*Assumptions!$C$97</f>
        <v>0</v>
      </c>
      <c r="K20" s="19">
        <f>K19*Assumptions!$C$97</f>
        <v>0</v>
      </c>
      <c r="L20" s="19">
        <f>L19*Assumptions!$C$97</f>
        <v>0</v>
      </c>
      <c r="M20" s="19">
        <f>M19*Assumptions!$C$97</f>
        <v>0</v>
      </c>
      <c r="N20" s="19">
        <f>N19*Assumptions!$C$97</f>
        <v>0</v>
      </c>
      <c r="O20" s="19">
        <f>O19*Assumptions!$C$97</f>
        <v>120</v>
      </c>
      <c r="P20" s="19">
        <f>P19*Assumptions!$C$97</f>
        <v>120</v>
      </c>
      <c r="Q20" s="19">
        <f>Q19*Assumptions!$C$97</f>
        <v>240</v>
      </c>
      <c r="R20" s="19">
        <f>R19*Assumptions!$C$97</f>
        <v>240</v>
      </c>
      <c r="S20" s="19">
        <f>S19*Assumptions!$C$97</f>
        <v>240</v>
      </c>
      <c r="T20" s="19">
        <f>T19*Assumptions!$C$97</f>
        <v>360</v>
      </c>
      <c r="U20" s="19">
        <f>U19*Assumptions!$C$97</f>
        <v>360</v>
      </c>
      <c r="V20" s="19">
        <f>V19*Assumptions!$C$97</f>
        <v>360</v>
      </c>
      <c r="W20" s="19">
        <f>W19*Assumptions!$C$97</f>
        <v>480</v>
      </c>
      <c r="X20" s="19">
        <f>X19*Assumptions!$C$97</f>
        <v>480</v>
      </c>
      <c r="Y20" s="19">
        <f>Y19*Assumptions!$C$97</f>
        <v>480</v>
      </c>
      <c r="Z20" s="19">
        <f>Z19*Assumptions!$C$97</f>
        <v>600</v>
      </c>
      <c r="AA20" s="19">
        <f>AA19*Assumptions!$C$97</f>
        <v>600</v>
      </c>
      <c r="AB20" s="19">
        <f>AB19*Assumptions!$C$97</f>
        <v>600</v>
      </c>
      <c r="AC20" s="19">
        <f>AC19*Assumptions!$C$97</f>
        <v>720</v>
      </c>
      <c r="AD20" s="19">
        <f>AD19*Assumptions!$C$97</f>
        <v>720</v>
      </c>
      <c r="AE20" s="19">
        <f>AE19*Assumptions!$C$97</f>
        <v>720</v>
      </c>
      <c r="AF20" s="19">
        <f>AF19*Assumptions!$C$97</f>
        <v>840</v>
      </c>
    </row>
    <row r="21" spans="2:32" ht="15" customHeight="1">
      <c r="B21" t="s">
        <v>342</v>
      </c>
      <c r="C21" s="19">
        <f>1+IF(1&gt;=Assumptions!$C$100,1,0)+IF(1&gt;=Assumptions!$C$101,1,0)</f>
        <v>1</v>
      </c>
      <c r="D21" s="19">
        <f>1+IF(2&gt;=Assumptions!$C$100,1,0)+IF(2&gt;=Assumptions!$C$101,1,0)</f>
        <v>1</v>
      </c>
      <c r="E21" s="19">
        <f>1+IF(3&gt;=Assumptions!$C$100,1,0)+IF(3&gt;=Assumptions!$C$101,1,0)</f>
        <v>1</v>
      </c>
      <c r="F21" s="19">
        <f>1+IF(4&gt;=Assumptions!$C$100,1,0)+IF(4&gt;=Assumptions!$C$101,1,0)</f>
        <v>1</v>
      </c>
      <c r="G21" s="19">
        <f>1+IF(5&gt;=Assumptions!$C$100,1,0)+IF(5&gt;=Assumptions!$C$101,1,0)</f>
        <v>1</v>
      </c>
      <c r="H21" s="19">
        <f>1+IF(6&gt;=Assumptions!$C$100,1,0)+IF(6&gt;=Assumptions!$C$101,1,0)</f>
        <v>1</v>
      </c>
      <c r="I21" s="19">
        <f>1+IF(7&gt;=Assumptions!$C$100,1,0)+IF(7&gt;=Assumptions!$C$101,1,0)</f>
        <v>1</v>
      </c>
      <c r="J21" s="19">
        <f>1+IF(8&gt;=Assumptions!$C$100,1,0)+IF(8&gt;=Assumptions!$C$101,1,0)</f>
        <v>1</v>
      </c>
      <c r="K21" s="19">
        <f>1+IF(9&gt;=Assumptions!$C$100,1,0)+IF(9&gt;=Assumptions!$C$101,1,0)</f>
        <v>1</v>
      </c>
      <c r="L21" s="19">
        <f>1+IF(10&gt;=Assumptions!$C$100,1,0)+IF(10&gt;=Assumptions!$C$101,1,0)</f>
        <v>1</v>
      </c>
      <c r="M21" s="19">
        <f>1+IF(11&gt;=Assumptions!$C$100,1,0)+IF(11&gt;=Assumptions!$C$101,1,0)</f>
        <v>1</v>
      </c>
      <c r="N21" s="19">
        <f>1+IF(12&gt;=Assumptions!$C$100,1,0)+IF(12&gt;=Assumptions!$C$101,1,0)</f>
        <v>1</v>
      </c>
      <c r="O21" s="19">
        <f>1+IF(13&gt;=Assumptions!$C$100,1,0)+IF(13&gt;=Assumptions!$C$101,1,0)</f>
        <v>2</v>
      </c>
      <c r="P21" s="19">
        <f>1+IF(14&gt;=Assumptions!$C$100,1,0)+IF(14&gt;=Assumptions!$C$101,1,0)</f>
        <v>2</v>
      </c>
      <c r="Q21" s="19">
        <f>1+IF(15&gt;=Assumptions!$C$100,1,0)+IF(15&gt;=Assumptions!$C$101,1,0)</f>
        <v>2</v>
      </c>
      <c r="R21" s="19">
        <f>1+IF(16&gt;=Assumptions!$C$100,1,0)+IF(16&gt;=Assumptions!$C$101,1,0)</f>
        <v>2</v>
      </c>
      <c r="S21" s="19">
        <f>1+IF(17&gt;=Assumptions!$C$100,1,0)+IF(17&gt;=Assumptions!$C$101,1,0)</f>
        <v>2</v>
      </c>
      <c r="T21" s="19">
        <f>1+IF(18&gt;=Assumptions!$C$100,1,0)+IF(18&gt;=Assumptions!$C$101,1,0)</f>
        <v>2</v>
      </c>
      <c r="U21" s="19">
        <f>1+IF(19&gt;=Assumptions!$C$100,1,0)+IF(19&gt;=Assumptions!$C$101,1,0)</f>
        <v>2</v>
      </c>
      <c r="V21" s="19">
        <f>1+IF(20&gt;=Assumptions!$C$100,1,0)+IF(20&gt;=Assumptions!$C$101,1,0)</f>
        <v>2</v>
      </c>
      <c r="W21" s="19">
        <f>1+IF(21&gt;=Assumptions!$C$100,1,0)+IF(21&gt;=Assumptions!$C$101,1,0)</f>
        <v>2</v>
      </c>
      <c r="X21" s="19">
        <f>1+IF(22&gt;=Assumptions!$C$100,1,0)+IF(22&gt;=Assumptions!$C$101,1,0)</f>
        <v>2</v>
      </c>
      <c r="Y21" s="19">
        <f>1+IF(23&gt;=Assumptions!$C$100,1,0)+IF(23&gt;=Assumptions!$C$101,1,0)</f>
        <v>2</v>
      </c>
      <c r="Z21" s="19">
        <f>1+IF(24&gt;=Assumptions!$C$100,1,0)+IF(24&gt;=Assumptions!$C$101,1,0)</f>
        <v>2</v>
      </c>
      <c r="AA21" s="19">
        <f>1+IF(25&gt;=Assumptions!$C$100,1,0)+IF(25&gt;=Assumptions!$C$101,1,0)</f>
        <v>3</v>
      </c>
      <c r="AB21" s="19">
        <f>1+IF(26&gt;=Assumptions!$C$100,1,0)+IF(26&gt;=Assumptions!$C$101,1,0)</f>
        <v>3</v>
      </c>
      <c r="AC21" s="19">
        <f>1+IF(27&gt;=Assumptions!$C$100,1,0)+IF(27&gt;=Assumptions!$C$101,1,0)</f>
        <v>3</v>
      </c>
      <c r="AD21" s="19">
        <f>1+IF(28&gt;=Assumptions!$C$100,1,0)+IF(28&gt;=Assumptions!$C$101,1,0)</f>
        <v>3</v>
      </c>
      <c r="AE21" s="19">
        <f>1+IF(29&gt;=Assumptions!$C$100,1,0)+IF(29&gt;=Assumptions!$C$101,1,0)</f>
        <v>3</v>
      </c>
      <c r="AF21" s="19">
        <f>1+IF(30&gt;=Assumptions!$C$100,1,0)+IF(30&gt;=Assumptions!$C$101,1,0)</f>
        <v>3</v>
      </c>
    </row>
    <row r="22" spans="2:32" ht="15" customHeight="1">
      <c r="B22" t="s">
        <v>343</v>
      </c>
      <c r="C22" s="39">
        <f>1+IF(1&gt;=Assumptions!$C$100,1,0)*Assumptions!$C$104*Assumptions!$C$102+IF(1&gt;=Assumptions!$C$101,1,0)*Assumptions!$C$105*Assumptions!$C$103</f>
        <v>1</v>
      </c>
      <c r="D22" s="39">
        <f>1+IF(2&gt;=Assumptions!$C$100,1,0)*Assumptions!$C$104*Assumptions!$C$102+IF(2&gt;=Assumptions!$C$101,1,0)*Assumptions!$C$105*Assumptions!$C$103</f>
        <v>1</v>
      </c>
      <c r="E22" s="39">
        <f>1+IF(3&gt;=Assumptions!$C$100,1,0)*Assumptions!$C$104*Assumptions!$C$102+IF(3&gt;=Assumptions!$C$101,1,0)*Assumptions!$C$105*Assumptions!$C$103</f>
        <v>1</v>
      </c>
      <c r="F22" s="39">
        <f>1+IF(4&gt;=Assumptions!$C$100,1,0)*Assumptions!$C$104*Assumptions!$C$102+IF(4&gt;=Assumptions!$C$101,1,0)*Assumptions!$C$105*Assumptions!$C$103</f>
        <v>1</v>
      </c>
      <c r="G22" s="39">
        <f>1+IF(5&gt;=Assumptions!$C$100,1,0)*Assumptions!$C$104*Assumptions!$C$102+IF(5&gt;=Assumptions!$C$101,1,0)*Assumptions!$C$105*Assumptions!$C$103</f>
        <v>1</v>
      </c>
      <c r="H22" s="39">
        <f>1+IF(6&gt;=Assumptions!$C$100,1,0)*Assumptions!$C$104*Assumptions!$C$102+IF(6&gt;=Assumptions!$C$101,1,0)*Assumptions!$C$105*Assumptions!$C$103</f>
        <v>1</v>
      </c>
      <c r="I22" s="39">
        <f>1+IF(7&gt;=Assumptions!$C$100,1,0)*Assumptions!$C$104*Assumptions!$C$102+IF(7&gt;=Assumptions!$C$101,1,0)*Assumptions!$C$105*Assumptions!$C$103</f>
        <v>1</v>
      </c>
      <c r="J22" s="39">
        <f>1+IF(8&gt;=Assumptions!$C$100,1,0)*Assumptions!$C$104*Assumptions!$C$102+IF(8&gt;=Assumptions!$C$101,1,0)*Assumptions!$C$105*Assumptions!$C$103</f>
        <v>1</v>
      </c>
      <c r="K22" s="39">
        <f>1+IF(9&gt;=Assumptions!$C$100,1,0)*Assumptions!$C$104*Assumptions!$C$102+IF(9&gt;=Assumptions!$C$101,1,0)*Assumptions!$C$105*Assumptions!$C$103</f>
        <v>1</v>
      </c>
      <c r="L22" s="39">
        <f>1+IF(10&gt;=Assumptions!$C$100,1,0)*Assumptions!$C$104*Assumptions!$C$102+IF(10&gt;=Assumptions!$C$101,1,0)*Assumptions!$C$105*Assumptions!$C$103</f>
        <v>1</v>
      </c>
      <c r="M22" s="39">
        <f>1+IF(11&gt;=Assumptions!$C$100,1,0)*Assumptions!$C$104*Assumptions!$C$102+IF(11&gt;=Assumptions!$C$101,1,0)*Assumptions!$C$105*Assumptions!$C$103</f>
        <v>1</v>
      </c>
      <c r="N22" s="39">
        <f>1+IF(12&gt;=Assumptions!$C$100,1,0)*Assumptions!$C$104*Assumptions!$C$102+IF(12&gt;=Assumptions!$C$101,1,0)*Assumptions!$C$105*Assumptions!$C$103</f>
        <v>1</v>
      </c>
      <c r="O22" s="39">
        <f>1+IF(13&gt;=Assumptions!$C$100,1,0)*Assumptions!$C$104*Assumptions!$C$102+IF(13&gt;=Assumptions!$C$101,1,0)*Assumptions!$C$105*Assumptions!$C$103</f>
        <v>1.02</v>
      </c>
      <c r="P22" s="39">
        <f>1+IF(14&gt;=Assumptions!$C$100,1,0)*Assumptions!$C$104*Assumptions!$C$102+IF(14&gt;=Assumptions!$C$101,1,0)*Assumptions!$C$105*Assumptions!$C$103</f>
        <v>1.02</v>
      </c>
      <c r="Q22" s="39">
        <f>1+IF(15&gt;=Assumptions!$C$100,1,0)*Assumptions!$C$104*Assumptions!$C$102+IF(15&gt;=Assumptions!$C$101,1,0)*Assumptions!$C$105*Assumptions!$C$103</f>
        <v>1.02</v>
      </c>
      <c r="R22" s="39">
        <f>1+IF(16&gt;=Assumptions!$C$100,1,0)*Assumptions!$C$104*Assumptions!$C$102+IF(16&gt;=Assumptions!$C$101,1,0)*Assumptions!$C$105*Assumptions!$C$103</f>
        <v>1.02</v>
      </c>
      <c r="S22" s="39">
        <f>1+IF(17&gt;=Assumptions!$C$100,1,0)*Assumptions!$C$104*Assumptions!$C$102+IF(17&gt;=Assumptions!$C$101,1,0)*Assumptions!$C$105*Assumptions!$C$103</f>
        <v>1.02</v>
      </c>
      <c r="T22" s="39">
        <f>1+IF(18&gt;=Assumptions!$C$100,1,0)*Assumptions!$C$104*Assumptions!$C$102+IF(18&gt;=Assumptions!$C$101,1,0)*Assumptions!$C$105*Assumptions!$C$103</f>
        <v>1.02</v>
      </c>
      <c r="U22" s="39">
        <f>1+IF(19&gt;=Assumptions!$C$100,1,0)*Assumptions!$C$104*Assumptions!$C$102+IF(19&gt;=Assumptions!$C$101,1,0)*Assumptions!$C$105*Assumptions!$C$103</f>
        <v>1.02</v>
      </c>
      <c r="V22" s="39">
        <f>1+IF(20&gt;=Assumptions!$C$100,1,0)*Assumptions!$C$104*Assumptions!$C$102+IF(20&gt;=Assumptions!$C$101,1,0)*Assumptions!$C$105*Assumptions!$C$103</f>
        <v>1.02</v>
      </c>
      <c r="W22" s="39">
        <f>1+IF(21&gt;=Assumptions!$C$100,1,0)*Assumptions!$C$104*Assumptions!$C$102+IF(21&gt;=Assumptions!$C$101,1,0)*Assumptions!$C$105*Assumptions!$C$103</f>
        <v>1.02</v>
      </c>
      <c r="X22" s="39">
        <f>1+IF(22&gt;=Assumptions!$C$100,1,0)*Assumptions!$C$104*Assumptions!$C$102+IF(22&gt;=Assumptions!$C$101,1,0)*Assumptions!$C$105*Assumptions!$C$103</f>
        <v>1.02</v>
      </c>
      <c r="Y22" s="39">
        <f>1+IF(23&gt;=Assumptions!$C$100,1,0)*Assumptions!$C$104*Assumptions!$C$102+IF(23&gt;=Assumptions!$C$101,1,0)*Assumptions!$C$105*Assumptions!$C$103</f>
        <v>1.02</v>
      </c>
      <c r="Z22" s="39">
        <f>1+IF(24&gt;=Assumptions!$C$100,1,0)*Assumptions!$C$104*Assumptions!$C$102+IF(24&gt;=Assumptions!$C$101,1,0)*Assumptions!$C$105*Assumptions!$C$103</f>
        <v>1.02</v>
      </c>
      <c r="AA22" s="39">
        <f>1+IF(25&gt;=Assumptions!$C$100,1,0)*Assumptions!$C$104*Assumptions!$C$102+IF(25&gt;=Assumptions!$C$101,1,0)*Assumptions!$C$105*Assumptions!$C$103</f>
        <v>1.0469999999999999</v>
      </c>
      <c r="AB22" s="39">
        <f>1+IF(26&gt;=Assumptions!$C$100,1,0)*Assumptions!$C$104*Assumptions!$C$102+IF(26&gt;=Assumptions!$C$101,1,0)*Assumptions!$C$105*Assumptions!$C$103</f>
        <v>1.0469999999999999</v>
      </c>
      <c r="AC22" s="39">
        <f>1+IF(27&gt;=Assumptions!$C$100,1,0)*Assumptions!$C$104*Assumptions!$C$102+IF(27&gt;=Assumptions!$C$101,1,0)*Assumptions!$C$105*Assumptions!$C$103</f>
        <v>1.0469999999999999</v>
      </c>
      <c r="AD22" s="39">
        <f>1+IF(28&gt;=Assumptions!$C$100,1,0)*Assumptions!$C$104*Assumptions!$C$102+IF(28&gt;=Assumptions!$C$101,1,0)*Assumptions!$C$105*Assumptions!$C$103</f>
        <v>1.0469999999999999</v>
      </c>
      <c r="AE22" s="39">
        <f>1+IF(29&gt;=Assumptions!$C$100,1,0)*Assumptions!$C$104*Assumptions!$C$102+IF(29&gt;=Assumptions!$C$101,1,0)*Assumptions!$C$105*Assumptions!$C$103</f>
        <v>1.0469999999999999</v>
      </c>
      <c r="AF22" s="39">
        <f>1+IF(30&gt;=Assumptions!$C$100,1,0)*Assumptions!$C$104*Assumptions!$C$102+IF(30&gt;=Assumptions!$C$101,1,0)*Assumptions!$C$105*Assumptions!$C$103</f>
        <v>1.0469999999999999</v>
      </c>
    </row>
    <row r="23" spans="2:32" ht="15" customHeight="1">
      <c r="B23" t="s">
        <v>344</v>
      </c>
      <c r="C23" s="40">
        <f>1+Assumptions!$C$10*(Assumptions!$C$9-1)</f>
        <v>2</v>
      </c>
      <c r="D23" s="40">
        <f>1+Assumptions!$C$10*(Assumptions!$C$9-1)</f>
        <v>2</v>
      </c>
      <c r="E23" s="40">
        <f>1+Assumptions!$C$10*(Assumptions!$C$9-1)</f>
        <v>2</v>
      </c>
      <c r="F23" s="40">
        <f>1+Assumptions!$C$10*(Assumptions!$C$9-1)</f>
        <v>2</v>
      </c>
      <c r="G23" s="40">
        <f>1+Assumptions!$C$10*(Assumptions!$C$9-1)</f>
        <v>2</v>
      </c>
      <c r="H23" s="40">
        <f>1+Assumptions!$C$10*(Assumptions!$C$9-1)</f>
        <v>2</v>
      </c>
      <c r="I23" s="40">
        <f>1+Assumptions!$C$10*(Assumptions!$C$9-1)</f>
        <v>2</v>
      </c>
      <c r="J23" s="40">
        <f>1+Assumptions!$C$10*(Assumptions!$C$9-1)</f>
        <v>2</v>
      </c>
      <c r="K23" s="40">
        <f>1+Assumptions!$C$10*(Assumptions!$C$9-1)</f>
        <v>2</v>
      </c>
      <c r="L23" s="40">
        <f>1+Assumptions!$C$10*(Assumptions!$C$9-1)</f>
        <v>2</v>
      </c>
      <c r="M23" s="40">
        <f>1+Assumptions!$C$10*(Assumptions!$C$9-1)</f>
        <v>2</v>
      </c>
      <c r="N23" s="40">
        <f>1+Assumptions!$C$10*(Assumptions!$C$9-1)</f>
        <v>2</v>
      </c>
      <c r="O23" s="40">
        <f>1+Assumptions!$C$10*(Assumptions!$C$9-1)</f>
        <v>2</v>
      </c>
      <c r="P23" s="40">
        <f>1+Assumptions!$C$10*(Assumptions!$C$9-1)</f>
        <v>2</v>
      </c>
      <c r="Q23" s="40">
        <f>1+Assumptions!$C$10*(Assumptions!$C$9-1)</f>
        <v>2</v>
      </c>
      <c r="R23" s="40">
        <f>1+Assumptions!$C$10*(Assumptions!$C$9-1)</f>
        <v>2</v>
      </c>
      <c r="S23" s="40">
        <f>1+Assumptions!$C$10*(Assumptions!$C$9-1)</f>
        <v>2</v>
      </c>
      <c r="T23" s="40">
        <f>1+Assumptions!$C$10*(Assumptions!$C$9-1)</f>
        <v>2</v>
      </c>
      <c r="U23" s="40">
        <f>1+Assumptions!$C$10*(Assumptions!$C$9-1)</f>
        <v>2</v>
      </c>
      <c r="V23" s="40">
        <f>1+Assumptions!$C$10*(Assumptions!$C$9-1)</f>
        <v>2</v>
      </c>
      <c r="W23" s="40">
        <f>1+Assumptions!$C$10*(Assumptions!$C$9-1)</f>
        <v>2</v>
      </c>
      <c r="X23" s="40">
        <f>1+Assumptions!$C$10*(Assumptions!$C$9-1)</f>
        <v>2</v>
      </c>
      <c r="Y23" s="40">
        <f>1+Assumptions!$C$10*(Assumptions!$C$9-1)</f>
        <v>2</v>
      </c>
      <c r="Z23" s="40">
        <f>1+Assumptions!$C$10*(Assumptions!$C$9-1)</f>
        <v>2</v>
      </c>
      <c r="AA23" s="40">
        <f>1+Assumptions!$C$10*(Assumptions!$C$9-1)</f>
        <v>2</v>
      </c>
      <c r="AB23" s="40">
        <f>1+Assumptions!$C$10*(Assumptions!$C$9-1)</f>
        <v>2</v>
      </c>
      <c r="AC23" s="40">
        <f>1+Assumptions!$C$10*(Assumptions!$C$9-1)</f>
        <v>2</v>
      </c>
      <c r="AD23" s="40">
        <f>1+Assumptions!$C$10*(Assumptions!$C$9-1)</f>
        <v>2</v>
      </c>
      <c r="AE23" s="40">
        <f>1+Assumptions!$C$10*(Assumptions!$C$9-1)</f>
        <v>2</v>
      </c>
      <c r="AF23" s="40">
        <f>1+Assumptions!$C$10*(Assumptions!$C$9-1)</f>
        <v>2</v>
      </c>
    </row>
    <row r="24" spans="2:32" ht="15" customHeight="1">
      <c r="B24" t="s">
        <v>345</v>
      </c>
      <c r="C24" s="19">
        <f>C21+Assumptions!$C$9-1</f>
        <v>3</v>
      </c>
      <c r="D24" s="19">
        <f>D21+Assumptions!$C$9-1</f>
        <v>3</v>
      </c>
      <c r="E24" s="19">
        <f>E21+Assumptions!$C$9-1</f>
        <v>3</v>
      </c>
      <c r="F24" s="19">
        <f>F21+Assumptions!$C$9-1</f>
        <v>3</v>
      </c>
      <c r="G24" s="19">
        <f>G21+Assumptions!$C$9-1</f>
        <v>3</v>
      </c>
      <c r="H24" s="19">
        <f>H21+Assumptions!$C$9-1</f>
        <v>3</v>
      </c>
      <c r="I24" s="19">
        <f>I21+Assumptions!$C$9-1</f>
        <v>3</v>
      </c>
      <c r="J24" s="19">
        <f>J21+Assumptions!$C$9-1</f>
        <v>3</v>
      </c>
      <c r="K24" s="19">
        <f>K21+Assumptions!$C$9-1</f>
        <v>3</v>
      </c>
      <c r="L24" s="19">
        <f>L21+Assumptions!$C$9-1</f>
        <v>3</v>
      </c>
      <c r="M24" s="19">
        <f>M21+Assumptions!$C$9-1</f>
        <v>3</v>
      </c>
      <c r="N24" s="19">
        <f>N21+Assumptions!$C$9-1</f>
        <v>3</v>
      </c>
      <c r="O24" s="19">
        <f>O21+Assumptions!$C$9-1</f>
        <v>4</v>
      </c>
      <c r="P24" s="19">
        <f>P21+Assumptions!$C$9-1</f>
        <v>4</v>
      </c>
      <c r="Q24" s="19">
        <f>Q21+Assumptions!$C$9-1</f>
        <v>4</v>
      </c>
      <c r="R24" s="19">
        <f>R21+Assumptions!$C$9-1</f>
        <v>4</v>
      </c>
      <c r="S24" s="19">
        <f>S21+Assumptions!$C$9-1</f>
        <v>4</v>
      </c>
      <c r="T24" s="19">
        <f>T21+Assumptions!$C$9-1</f>
        <v>4</v>
      </c>
      <c r="U24" s="19">
        <f>U21+Assumptions!$C$9-1</f>
        <v>4</v>
      </c>
      <c r="V24" s="19">
        <f>V21+Assumptions!$C$9-1</f>
        <v>4</v>
      </c>
      <c r="W24" s="19">
        <f>W21+Assumptions!$C$9-1</f>
        <v>4</v>
      </c>
      <c r="X24" s="19">
        <f>X21+Assumptions!$C$9-1</f>
        <v>4</v>
      </c>
      <c r="Y24" s="19">
        <f>Y21+Assumptions!$C$9-1</f>
        <v>4</v>
      </c>
      <c r="Z24" s="19">
        <f>Z21+Assumptions!$C$9-1</f>
        <v>4</v>
      </c>
      <c r="AA24" s="19">
        <f>AA21+Assumptions!$C$9-1</f>
        <v>5</v>
      </c>
      <c r="AB24" s="19">
        <f>AB21+Assumptions!$C$9-1</f>
        <v>5</v>
      </c>
      <c r="AC24" s="19">
        <f>AC21+Assumptions!$C$9-1</f>
        <v>5</v>
      </c>
      <c r="AD24" s="19">
        <f>AD21+Assumptions!$C$9-1</f>
        <v>5</v>
      </c>
      <c r="AE24" s="19">
        <f>AE21+Assumptions!$C$9-1</f>
        <v>5</v>
      </c>
      <c r="AF24" s="19">
        <f>AF21+Assumptions!$C$9-1</f>
        <v>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F50"/>
  <sheetViews>
    <sheetView showGridLines="0" zoomScaleNormal="100" workbookViewId="0"/>
  </sheetViews>
  <sheetFormatPr defaultColWidth="8.7109375" defaultRowHeight="15"/>
  <cols>
    <col min="1" max="1" width="2" customWidth="1"/>
    <col min="2" max="2" width="38" customWidth="1"/>
    <col min="3" max="32" width="11" customWidth="1"/>
  </cols>
  <sheetData>
    <row r="1" spans="2:32" ht="19.5" customHeight="1">
      <c r="B1" s="1" t="s">
        <v>346</v>
      </c>
    </row>
    <row r="2" spans="2:32" ht="15" customHeight="1">
      <c r="B2" s="8" t="s">
        <v>347</v>
      </c>
    </row>
    <row r="4" spans="2:32" ht="15" customHeight="1">
      <c r="B4" s="9" t="s">
        <v>348</v>
      </c>
      <c r="C4" s="36" t="s">
        <v>297</v>
      </c>
      <c r="D4" s="36" t="s">
        <v>298</v>
      </c>
      <c r="E4" s="36" t="s">
        <v>299</v>
      </c>
      <c r="F4" s="36" t="s">
        <v>300</v>
      </c>
      <c r="G4" s="36" t="s">
        <v>301</v>
      </c>
      <c r="H4" s="36" t="s">
        <v>302</v>
      </c>
      <c r="I4" s="36" t="s">
        <v>303</v>
      </c>
      <c r="J4" s="36" t="s">
        <v>304</v>
      </c>
      <c r="K4" s="36" t="s">
        <v>305</v>
      </c>
      <c r="L4" s="36" t="s">
        <v>306</v>
      </c>
      <c r="M4" s="36" t="s">
        <v>307</v>
      </c>
      <c r="N4" s="36" t="s">
        <v>308</v>
      </c>
      <c r="O4" s="36" t="s">
        <v>309</v>
      </c>
      <c r="P4" s="36" t="s">
        <v>310</v>
      </c>
      <c r="Q4" s="36" t="s">
        <v>311</v>
      </c>
      <c r="R4" s="36" t="s">
        <v>312</v>
      </c>
      <c r="S4" s="36" t="s">
        <v>313</v>
      </c>
      <c r="T4" s="36" t="s">
        <v>314</v>
      </c>
      <c r="U4" s="36" t="s">
        <v>315</v>
      </c>
      <c r="V4" s="36" t="s">
        <v>316</v>
      </c>
      <c r="W4" s="36" t="s">
        <v>317</v>
      </c>
      <c r="X4" s="36" t="s">
        <v>318</v>
      </c>
      <c r="Y4" s="36" t="s">
        <v>319</v>
      </c>
      <c r="Z4" s="36" t="s">
        <v>320</v>
      </c>
      <c r="AA4" s="36" t="s">
        <v>321</v>
      </c>
      <c r="AB4" s="36" t="s">
        <v>322</v>
      </c>
      <c r="AC4" s="36" t="s">
        <v>323</v>
      </c>
      <c r="AD4" s="36" t="s">
        <v>324</v>
      </c>
      <c r="AE4" s="36" t="s">
        <v>325</v>
      </c>
      <c r="AF4" s="36" t="s">
        <v>326</v>
      </c>
    </row>
    <row r="5" spans="2:32" ht="15" customHeight="1">
      <c r="B5" s="15" t="s">
        <v>349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</row>
    <row r="6" spans="2:32" ht="15" customHeight="1">
      <c r="B6" s="11" t="s">
        <v>350</v>
      </c>
      <c r="C6" s="24">
        <f>Assumptions!$C$43*730*Drivers!C24</f>
        <v>219</v>
      </c>
      <c r="D6" s="24">
        <f>Assumptions!$C$43*730*Drivers!D24</f>
        <v>219</v>
      </c>
      <c r="E6" s="24">
        <f>Assumptions!$C$43*730*Drivers!E24</f>
        <v>219</v>
      </c>
      <c r="F6" s="24">
        <f>Assumptions!$C$43*730*Drivers!F24</f>
        <v>219</v>
      </c>
      <c r="G6" s="24">
        <f>Assumptions!$C$43*730*Drivers!G24</f>
        <v>219</v>
      </c>
      <c r="H6" s="24">
        <f>Assumptions!$C$43*730*Drivers!H24</f>
        <v>219</v>
      </c>
      <c r="I6" s="24">
        <f>Assumptions!$C$43*730*Drivers!I24</f>
        <v>219</v>
      </c>
      <c r="J6" s="24">
        <f>Assumptions!$C$43*730*Drivers!J24</f>
        <v>219</v>
      </c>
      <c r="K6" s="24">
        <f>Assumptions!$C$43*730*Drivers!K24</f>
        <v>219</v>
      </c>
      <c r="L6" s="24">
        <f>Assumptions!$C$43*730*Drivers!L24</f>
        <v>219</v>
      </c>
      <c r="M6" s="24">
        <f>Assumptions!$C$43*730*Drivers!M24</f>
        <v>219</v>
      </c>
      <c r="N6" s="24">
        <f>Assumptions!$C$43*730*Drivers!N24</f>
        <v>219</v>
      </c>
      <c r="O6" s="24">
        <f>Assumptions!$C$43*730*Drivers!O24</f>
        <v>292</v>
      </c>
      <c r="P6" s="24">
        <f>Assumptions!$C$43*730*Drivers!P24</f>
        <v>292</v>
      </c>
      <c r="Q6" s="24">
        <f>Assumptions!$C$43*730*Drivers!Q24</f>
        <v>292</v>
      </c>
      <c r="R6" s="24">
        <f>Assumptions!$C$43*730*Drivers!R24</f>
        <v>292</v>
      </c>
      <c r="S6" s="24">
        <f>Assumptions!$C$43*730*Drivers!S24</f>
        <v>292</v>
      </c>
      <c r="T6" s="24">
        <f>Assumptions!$C$43*730*Drivers!T24</f>
        <v>292</v>
      </c>
      <c r="U6" s="24">
        <f>Assumptions!$C$43*730*Drivers!U24</f>
        <v>292</v>
      </c>
      <c r="V6" s="24">
        <f>Assumptions!$C$43*730*Drivers!V24</f>
        <v>292</v>
      </c>
      <c r="W6" s="24">
        <f>Assumptions!$C$43*730*Drivers!W24</f>
        <v>292</v>
      </c>
      <c r="X6" s="24">
        <f>Assumptions!$C$43*730*Drivers!X24</f>
        <v>292</v>
      </c>
      <c r="Y6" s="24">
        <f>Assumptions!$C$43*730*Drivers!Y24</f>
        <v>292</v>
      </c>
      <c r="Z6" s="24">
        <f>Assumptions!$C$43*730*Drivers!Z24</f>
        <v>292</v>
      </c>
      <c r="AA6" s="24">
        <f>Assumptions!$C$43*730*Drivers!AA24</f>
        <v>365</v>
      </c>
      <c r="AB6" s="24">
        <f>Assumptions!$C$43*730*Drivers!AB24</f>
        <v>365</v>
      </c>
      <c r="AC6" s="24">
        <f>Assumptions!$C$43*730*Drivers!AC24</f>
        <v>365</v>
      </c>
      <c r="AD6" s="24">
        <f>Assumptions!$C$43*730*Drivers!AD24</f>
        <v>365</v>
      </c>
      <c r="AE6" s="24">
        <f>Assumptions!$C$43*730*Drivers!AE24</f>
        <v>365</v>
      </c>
      <c r="AF6" s="24">
        <f>Assumptions!$C$43*730*Drivers!AF24</f>
        <v>365</v>
      </c>
    </row>
    <row r="7" spans="2:32" ht="15" customHeight="1">
      <c r="B7" s="11" t="s">
        <v>351</v>
      </c>
      <c r="C7" s="24">
        <f>(MAX(Assumptions!$C$45,ROUNDUP(Drivers!C8/Assumptions!$C$44,0))*Drivers!C22+Assumptions!$C$45*Assumptions!$C$10*(Assumptions!$C$9-1))*Assumptions!$C$46*730*(1-Assumptions!$C$47)</f>
        <v>840.96</v>
      </c>
      <c r="D7" s="24">
        <f>(MAX(Assumptions!$C$45,ROUNDUP(Drivers!D8/Assumptions!$C$44,0))*Drivers!D22+Assumptions!$C$45*Assumptions!$C$10*(Assumptions!$C$9-1))*Assumptions!$C$46*730*(1-Assumptions!$C$47)</f>
        <v>840.96</v>
      </c>
      <c r="E7" s="24">
        <f>(MAX(Assumptions!$C$45,ROUNDUP(Drivers!E8/Assumptions!$C$44,0))*Drivers!E22+Assumptions!$C$45*Assumptions!$C$10*(Assumptions!$C$9-1))*Assumptions!$C$46*730*(1-Assumptions!$C$47)</f>
        <v>840.96</v>
      </c>
      <c r="F7" s="24">
        <f>(MAX(Assumptions!$C$45,ROUNDUP(Drivers!F8/Assumptions!$C$44,0))*Drivers!F22+Assumptions!$C$45*Assumptions!$C$10*(Assumptions!$C$9-1))*Assumptions!$C$46*730*(1-Assumptions!$C$47)</f>
        <v>840.96</v>
      </c>
      <c r="G7" s="24">
        <f>(MAX(Assumptions!$C$45,ROUNDUP(Drivers!G8/Assumptions!$C$44,0))*Drivers!G22+Assumptions!$C$45*Assumptions!$C$10*(Assumptions!$C$9-1))*Assumptions!$C$46*730*(1-Assumptions!$C$47)</f>
        <v>840.96</v>
      </c>
      <c r="H7" s="24">
        <f>(MAX(Assumptions!$C$45,ROUNDUP(Drivers!H8/Assumptions!$C$44,0))*Drivers!H22+Assumptions!$C$45*Assumptions!$C$10*(Assumptions!$C$9-1))*Assumptions!$C$46*730*(1-Assumptions!$C$47)</f>
        <v>840.96</v>
      </c>
      <c r="I7" s="24">
        <f>(MAX(Assumptions!$C$45,ROUNDUP(Drivers!I8/Assumptions!$C$44,0))*Drivers!I22+Assumptions!$C$45*Assumptions!$C$10*(Assumptions!$C$9-1))*Assumptions!$C$46*730*(1-Assumptions!$C$47)</f>
        <v>840.96</v>
      </c>
      <c r="J7" s="24">
        <f>(MAX(Assumptions!$C$45,ROUNDUP(Drivers!J8/Assumptions!$C$44,0))*Drivers!J22+Assumptions!$C$45*Assumptions!$C$10*(Assumptions!$C$9-1))*Assumptions!$C$46*730*(1-Assumptions!$C$47)</f>
        <v>840.96</v>
      </c>
      <c r="K7" s="24">
        <f>(MAX(Assumptions!$C$45,ROUNDUP(Drivers!K8/Assumptions!$C$44,0))*Drivers!K22+Assumptions!$C$45*Assumptions!$C$10*(Assumptions!$C$9-1))*Assumptions!$C$46*730*(1-Assumptions!$C$47)</f>
        <v>840.96</v>
      </c>
      <c r="L7" s="24">
        <f>(MAX(Assumptions!$C$45,ROUNDUP(Drivers!L8/Assumptions!$C$44,0))*Drivers!L22+Assumptions!$C$45*Assumptions!$C$10*(Assumptions!$C$9-1))*Assumptions!$C$46*730*(1-Assumptions!$C$47)</f>
        <v>946.08</v>
      </c>
      <c r="M7" s="24">
        <f>(MAX(Assumptions!$C$45,ROUNDUP(Drivers!M8/Assumptions!$C$44,0))*Drivers!M22+Assumptions!$C$45*Assumptions!$C$10*(Assumptions!$C$9-1))*Assumptions!$C$46*730*(1-Assumptions!$C$47)</f>
        <v>1051.1999999999998</v>
      </c>
      <c r="N7" s="24">
        <f>(MAX(Assumptions!$C$45,ROUNDUP(Drivers!N8/Assumptions!$C$44,0))*Drivers!N22+Assumptions!$C$45*Assumptions!$C$10*(Assumptions!$C$9-1))*Assumptions!$C$46*730*(1-Assumptions!$C$47)</f>
        <v>1366.56</v>
      </c>
      <c r="O7" s="24">
        <f>(MAX(Assumptions!$C$45,ROUNDUP(Drivers!O8/Assumptions!$C$44,0))*Drivers!O22+Assumptions!$C$45*Assumptions!$C$10*(Assumptions!$C$9-1))*Assumptions!$C$46*730*(1-Assumptions!$C$47)</f>
        <v>1492.704</v>
      </c>
      <c r="P7" s="24">
        <f>(MAX(Assumptions!$C$45,ROUNDUP(Drivers!P8/Assumptions!$C$44,0))*Drivers!P22+Assumptions!$C$45*Assumptions!$C$10*(Assumptions!$C$9-1))*Assumptions!$C$46*730*(1-Assumptions!$C$47)</f>
        <v>1814.3711999999996</v>
      </c>
      <c r="Q7" s="24">
        <f>(MAX(Assumptions!$C$45,ROUNDUP(Drivers!Q8/Assumptions!$C$44,0))*Drivers!Q22+Assumptions!$C$45*Assumptions!$C$10*(Assumptions!$C$9-1))*Assumptions!$C$46*730*(1-Assumptions!$C$47)</f>
        <v>2028.8160000000003</v>
      </c>
      <c r="R7" s="24">
        <f>(MAX(Assumptions!$C$45,ROUNDUP(Drivers!R8/Assumptions!$C$44,0))*Drivers!R22+Assumptions!$C$45*Assumptions!$C$10*(Assumptions!$C$9-1))*Assumptions!$C$46*730*(1-Assumptions!$C$47)</f>
        <v>2350.4832000000001</v>
      </c>
      <c r="S7" s="24">
        <f>(MAX(Assumptions!$C$45,ROUNDUP(Drivers!S8/Assumptions!$C$44,0))*Drivers!S22+Assumptions!$C$45*Assumptions!$C$10*(Assumptions!$C$9-1))*Assumptions!$C$46*730*(1-Assumptions!$C$47)</f>
        <v>2672.1504000000004</v>
      </c>
      <c r="T7" s="24">
        <f>(MAX(Assumptions!$C$45,ROUNDUP(Drivers!T8/Assumptions!$C$44,0))*Drivers!T22+Assumptions!$C$45*Assumptions!$C$10*(Assumptions!$C$9-1))*Assumptions!$C$46*730*(1-Assumptions!$C$47)</f>
        <v>3101.0399999999995</v>
      </c>
      <c r="U7" s="24">
        <f>(MAX(Assumptions!$C$45,ROUNDUP(Drivers!U8/Assumptions!$C$44,0))*Drivers!U22+Assumptions!$C$45*Assumptions!$C$10*(Assumptions!$C$9-1))*Assumptions!$C$46*730*(1-Assumptions!$C$47)</f>
        <v>3315.4847999999997</v>
      </c>
      <c r="V7" s="24">
        <f>(MAX(Assumptions!$C$45,ROUNDUP(Drivers!V8/Assumptions!$C$44,0))*Drivers!V22+Assumptions!$C$45*Assumptions!$C$10*(Assumptions!$C$9-1))*Assumptions!$C$46*730*(1-Assumptions!$C$47)</f>
        <v>3422.7071999999998</v>
      </c>
      <c r="W7" s="24">
        <f>(MAX(Assumptions!$C$45,ROUNDUP(Drivers!W8/Assumptions!$C$44,0))*Drivers!W22+Assumptions!$C$45*Assumptions!$C$10*(Assumptions!$C$9-1))*Assumptions!$C$46*730*(1-Assumptions!$C$47)</f>
        <v>3529.9295999999999</v>
      </c>
      <c r="X7" s="24">
        <f>(MAX(Assumptions!$C$45,ROUNDUP(Drivers!X8/Assumptions!$C$44,0))*Drivers!X22+Assumptions!$C$45*Assumptions!$C$10*(Assumptions!$C$9-1))*Assumptions!$C$46*730*(1-Assumptions!$C$47)</f>
        <v>3637.152</v>
      </c>
      <c r="Y7" s="24">
        <f>(MAX(Assumptions!$C$45,ROUNDUP(Drivers!Y8/Assumptions!$C$44,0))*Drivers!Y22+Assumptions!$C$45*Assumptions!$C$10*(Assumptions!$C$9-1))*Assumptions!$C$46*730*(1-Assumptions!$C$47)</f>
        <v>3851.5968000000003</v>
      </c>
      <c r="Z7" s="24">
        <f>(MAX(Assumptions!$C$45,ROUNDUP(Drivers!Z8/Assumptions!$C$44,0))*Drivers!Z22+Assumptions!$C$45*Assumptions!$C$10*(Assumptions!$C$9-1))*Assumptions!$C$46*730*(1-Assumptions!$C$47)</f>
        <v>3958.8192000000004</v>
      </c>
      <c r="AA7" s="24">
        <f>(MAX(Assumptions!$C$45,ROUNDUP(Drivers!AA8/Assumptions!$C$44,0))*Drivers!AA22+Assumptions!$C$45*Assumptions!$C$10*(Assumptions!$C$9-1))*Assumptions!$C$46*730*(1-Assumptions!$C$47)</f>
        <v>4272.6023999999998</v>
      </c>
      <c r="AB7" s="24">
        <f>(MAX(Assumptions!$C$45,ROUNDUP(Drivers!AB8/Assumptions!$C$44,0))*Drivers!AB22+Assumptions!$C$45*Assumptions!$C$10*(Assumptions!$C$9-1))*Assumptions!$C$46*730*(1-Assumptions!$C$47)</f>
        <v>4382.6630399999995</v>
      </c>
      <c r="AC7" s="24">
        <f>(MAX(Assumptions!$C$45,ROUNDUP(Drivers!AC8/Assumptions!$C$44,0))*Drivers!AC22+Assumptions!$C$45*Assumptions!$C$10*(Assumptions!$C$9-1))*Assumptions!$C$46*730*(1-Assumptions!$C$47)</f>
        <v>4602.7843199999988</v>
      </c>
      <c r="AD7" s="24">
        <f>(MAX(Assumptions!$C$45,ROUNDUP(Drivers!AD8/Assumptions!$C$44,0))*Drivers!AD22+Assumptions!$C$45*Assumptions!$C$10*(Assumptions!$C$9-1))*Assumptions!$C$46*730*(1-Assumptions!$C$47)</f>
        <v>4712.8449600000004</v>
      </c>
      <c r="AE7" s="24">
        <f>(MAX(Assumptions!$C$45,ROUNDUP(Drivers!AE8/Assumptions!$C$44,0))*Drivers!AE22+Assumptions!$C$45*Assumptions!$C$10*(Assumptions!$C$9-1))*Assumptions!$C$46*730*(1-Assumptions!$C$47)</f>
        <v>4932.9662399999997</v>
      </c>
      <c r="AF7" s="24">
        <f>(MAX(Assumptions!$C$45,ROUNDUP(Drivers!AF8/Assumptions!$C$44,0))*Drivers!AF22+Assumptions!$C$45*Assumptions!$C$10*(Assumptions!$C$9-1))*Assumptions!$C$46*730*(1-Assumptions!$C$47)</f>
        <v>5043.0268799999994</v>
      </c>
    </row>
    <row r="8" spans="2:32" ht="15" customHeight="1">
      <c r="B8" s="11" t="s">
        <v>352</v>
      </c>
      <c r="C8" s="24">
        <f>(Assumptions!$C$48+Assumptions!$C$108)*(1+Assumptions!$C$111)+Drivers!C18*(Assumptions!$C$49+Assumptions!$C$109)+Assumptions!$C$110</f>
        <v>783.02783999999997</v>
      </c>
      <c r="D8" s="24">
        <f>(Assumptions!$C$48+Assumptions!$C$108)*(1+Assumptions!$C$111)+Drivers!D18*(Assumptions!$C$49+Assumptions!$C$109)+Assumptions!$C$110</f>
        <v>786.81263999999999</v>
      </c>
      <c r="E8" s="24">
        <f>(Assumptions!$C$48+Assumptions!$C$108)*(1+Assumptions!$C$111)+Drivers!E18*(Assumptions!$C$49+Assumptions!$C$109)+Assumptions!$C$110</f>
        <v>792.11135999999999</v>
      </c>
      <c r="F8" s="24">
        <f>(Assumptions!$C$48+Assumptions!$C$108)*(1+Assumptions!$C$111)+Drivers!F18*(Assumptions!$C$49+Assumptions!$C$109)+Assumptions!$C$110</f>
        <v>799.68096000000003</v>
      </c>
      <c r="G8" s="24">
        <f>(Assumptions!$C$48+Assumptions!$C$108)*(1+Assumptions!$C$111)+Drivers!G18*(Assumptions!$C$49+Assumptions!$C$109)+Assumptions!$C$110</f>
        <v>808.38599999999997</v>
      </c>
      <c r="H8" s="24">
        <f>(Assumptions!$C$48+Assumptions!$C$108)*(1+Assumptions!$C$111)+Drivers!H18*(Assumptions!$C$49+Assumptions!$C$109)+Assumptions!$C$110</f>
        <v>817.84799999999996</v>
      </c>
      <c r="I8" s="24">
        <f>(Assumptions!$C$48+Assumptions!$C$108)*(1+Assumptions!$C$111)+Drivers!I18*(Assumptions!$C$49+Assumptions!$C$109)+Assumptions!$C$110</f>
        <v>836.77200000000005</v>
      </c>
      <c r="J8" s="24">
        <f>(Assumptions!$C$48+Assumptions!$C$108)*(1+Assumptions!$C$111)+Drivers!J18*(Assumptions!$C$49+Assumptions!$C$109)+Assumptions!$C$110</f>
        <v>867.05039999999997</v>
      </c>
      <c r="K8" s="24">
        <f>(Assumptions!$C$48+Assumptions!$C$108)*(1+Assumptions!$C$111)+Drivers!K18*(Assumptions!$C$49+Assumptions!$C$109)+Assumptions!$C$110</f>
        <v>908.68319999999994</v>
      </c>
      <c r="L8" s="24">
        <f>(Assumptions!$C$48+Assumptions!$C$108)*(1+Assumptions!$C$111)+Drivers!L18*(Assumptions!$C$49+Assumptions!$C$109)+Assumptions!$C$110</f>
        <v>969.24</v>
      </c>
      <c r="M8" s="24">
        <f>(Assumptions!$C$48+Assumptions!$C$108)*(1+Assumptions!$C$111)+Drivers!M18*(Assumptions!$C$49+Assumptions!$C$109)+Assumptions!$C$110</f>
        <v>1052.5056</v>
      </c>
      <c r="N8" s="24">
        <f>(Assumptions!$C$48+Assumptions!$C$108)*(1+Assumptions!$C$111)+Drivers!N18*(Assumptions!$C$49+Assumptions!$C$109)+Assumptions!$C$110</f>
        <v>1158.48</v>
      </c>
      <c r="O8" s="24">
        <f>(Assumptions!$C$48+Assumptions!$C$108)*(1+Assumptions!$C$111)+Drivers!O18*(Assumptions!$C$49+Assumptions!$C$109)+Assumptions!$C$110</f>
        <v>1234.1760000000002</v>
      </c>
      <c r="P8" s="24">
        <f>(Assumptions!$C$48+Assumptions!$C$108)*(1+Assumptions!$C$111)+Drivers!P18*(Assumptions!$C$49+Assumptions!$C$109)+Assumptions!$C$110</f>
        <v>1328.796</v>
      </c>
      <c r="Q8" s="24">
        <f>(Assumptions!$C$48+Assumptions!$C$108)*(1+Assumptions!$C$111)+Drivers!Q18*(Assumptions!$C$49+Assumptions!$C$109)+Assumptions!$C$110</f>
        <v>1430.9856</v>
      </c>
      <c r="R8" s="24">
        <f>(Assumptions!$C$48+Assumptions!$C$108)*(1+Assumptions!$C$111)+Drivers!R18*(Assumptions!$C$49+Assumptions!$C$109)+Assumptions!$C$110</f>
        <v>1555.884</v>
      </c>
      <c r="S8" s="24">
        <f>(Assumptions!$C$48+Assumptions!$C$108)*(1+Assumptions!$C$111)+Drivers!S18*(Assumptions!$C$49+Assumptions!$C$109)+Assumptions!$C$110</f>
        <v>1726.2</v>
      </c>
      <c r="T8" s="24">
        <f>(Assumptions!$C$48+Assumptions!$C$108)*(1+Assumptions!$C$111)+Drivers!T18*(Assumptions!$C$49+Assumptions!$C$109)+Assumptions!$C$110</f>
        <v>1915.44</v>
      </c>
      <c r="U8" s="24">
        <f>(Assumptions!$C$48+Assumptions!$C$108)*(1+Assumptions!$C$111)+Drivers!U18*(Assumptions!$C$49+Assumptions!$C$109)+Assumptions!$C$110</f>
        <v>1972.2120000000002</v>
      </c>
      <c r="V8" s="24">
        <f>(Assumptions!$C$48+Assumptions!$C$108)*(1+Assumptions!$C$111)+Drivers!V18*(Assumptions!$C$49+Assumptions!$C$109)+Assumptions!$C$110</f>
        <v>2028.9840000000002</v>
      </c>
      <c r="W8" s="24">
        <f>(Assumptions!$C$48+Assumptions!$C$108)*(1+Assumptions!$C$111)+Drivers!W18*(Assumptions!$C$49+Assumptions!$C$109)+Assumptions!$C$110</f>
        <v>2085.7560000000003</v>
      </c>
      <c r="X8" s="24">
        <f>(Assumptions!$C$48+Assumptions!$C$108)*(1+Assumptions!$C$111)+Drivers!X18*(Assumptions!$C$49+Assumptions!$C$109)+Assumptions!$C$110</f>
        <v>2142.5280000000002</v>
      </c>
      <c r="Y8" s="24">
        <f>(Assumptions!$C$48+Assumptions!$C$108)*(1+Assumptions!$C$111)+Drivers!Y18*(Assumptions!$C$49+Assumptions!$C$109)+Assumptions!$C$110</f>
        <v>2199.3000000000002</v>
      </c>
      <c r="Z8" s="24">
        <f>(Assumptions!$C$48+Assumptions!$C$108)*(1+Assumptions!$C$111)+Drivers!Z18*(Assumptions!$C$49+Assumptions!$C$109)+Assumptions!$C$110</f>
        <v>2256.0720000000001</v>
      </c>
      <c r="AA8" s="24">
        <f>(Assumptions!$C$48+Assumptions!$C$108)*(1+Assumptions!$C$111)+Drivers!AA18*(Assumptions!$C$49+Assumptions!$C$109)+Assumptions!$C$110</f>
        <v>2331.768</v>
      </c>
      <c r="AB8" s="24">
        <f>(Assumptions!$C$48+Assumptions!$C$108)*(1+Assumptions!$C$111)+Drivers!AB18*(Assumptions!$C$49+Assumptions!$C$109)+Assumptions!$C$110</f>
        <v>2407.4639999999999</v>
      </c>
      <c r="AC8" s="24">
        <f>(Assumptions!$C$48+Assumptions!$C$108)*(1+Assumptions!$C$111)+Drivers!AC18*(Assumptions!$C$49+Assumptions!$C$109)+Assumptions!$C$110</f>
        <v>2483.16</v>
      </c>
      <c r="AD8" s="24">
        <f>(Assumptions!$C$48+Assumptions!$C$108)*(1+Assumptions!$C$111)+Drivers!AD18*(Assumptions!$C$49+Assumptions!$C$109)+Assumptions!$C$110</f>
        <v>2539.9320000000002</v>
      </c>
      <c r="AE8" s="24">
        <f>(Assumptions!$C$48+Assumptions!$C$108)*(1+Assumptions!$C$111)+Drivers!AE18*(Assumptions!$C$49+Assumptions!$C$109)+Assumptions!$C$110</f>
        <v>2604.2736000000004</v>
      </c>
      <c r="AF8" s="24">
        <f>(Assumptions!$C$48+Assumptions!$C$108)*(1+Assumptions!$C$111)+Drivers!AF18*(Assumptions!$C$49+Assumptions!$C$109)+Assumptions!$C$110</f>
        <v>2672.4</v>
      </c>
    </row>
    <row r="9" spans="2:32" ht="15" customHeight="1">
      <c r="B9" s="11" t="s">
        <v>353</v>
      </c>
      <c r="C9" s="24">
        <f>Assumptions!$C$50*Drivers!C23</f>
        <v>1700</v>
      </c>
      <c r="D9" s="24">
        <f>Assumptions!$C$50*Drivers!D23</f>
        <v>1700</v>
      </c>
      <c r="E9" s="24">
        <f>Assumptions!$C$50*Drivers!E23</f>
        <v>1700</v>
      </c>
      <c r="F9" s="24">
        <f>Assumptions!$C$50*Drivers!F23</f>
        <v>1700</v>
      </c>
      <c r="G9" s="24">
        <f>Assumptions!$C$50*Drivers!G23</f>
        <v>1700</v>
      </c>
      <c r="H9" s="24">
        <f>Assumptions!$C$50*Drivers!H23</f>
        <v>1700</v>
      </c>
      <c r="I9" s="24">
        <f>Assumptions!$C$50*Drivers!I23</f>
        <v>1700</v>
      </c>
      <c r="J9" s="24">
        <f>Assumptions!$C$50*Drivers!J23</f>
        <v>1700</v>
      </c>
      <c r="K9" s="24">
        <f>Assumptions!$C$50*Drivers!K23</f>
        <v>1700</v>
      </c>
      <c r="L9" s="24">
        <f>Assumptions!$C$50*Drivers!L23</f>
        <v>1700</v>
      </c>
      <c r="M9" s="24">
        <f>Assumptions!$C$50*Drivers!M23</f>
        <v>1700</v>
      </c>
      <c r="N9" s="24">
        <f>Assumptions!$C$50*Drivers!N23</f>
        <v>1700</v>
      </c>
      <c r="O9" s="24">
        <f>Assumptions!$C$50*Drivers!O23</f>
        <v>1700</v>
      </c>
      <c r="P9" s="24">
        <f>Assumptions!$C$50*Drivers!P23</f>
        <v>1700</v>
      </c>
      <c r="Q9" s="24">
        <f>Assumptions!$C$50*Drivers!Q23</f>
        <v>1700</v>
      </c>
      <c r="R9" s="24">
        <f>Assumptions!$C$50*Drivers!R23</f>
        <v>1700</v>
      </c>
      <c r="S9" s="24">
        <f>Assumptions!$C$50*Drivers!S23</f>
        <v>1700</v>
      </c>
      <c r="T9" s="24">
        <f>Assumptions!$C$50*Drivers!T23</f>
        <v>1700</v>
      </c>
      <c r="U9" s="24">
        <f>Assumptions!$C$50*Drivers!U23</f>
        <v>1700</v>
      </c>
      <c r="V9" s="24">
        <f>Assumptions!$C$50*Drivers!V23</f>
        <v>1700</v>
      </c>
      <c r="W9" s="24">
        <f>Assumptions!$C$50*Drivers!W23</f>
        <v>1700</v>
      </c>
      <c r="X9" s="24">
        <f>Assumptions!$C$50*Drivers!X23</f>
        <v>1700</v>
      </c>
      <c r="Y9" s="24">
        <f>Assumptions!$C$50*Drivers!Y23</f>
        <v>1700</v>
      </c>
      <c r="Z9" s="24">
        <f>Assumptions!$C$50*Drivers!Z23</f>
        <v>1700</v>
      </c>
      <c r="AA9" s="24">
        <f>Assumptions!$C$50*Drivers!AA23</f>
        <v>1700</v>
      </c>
      <c r="AB9" s="24">
        <f>Assumptions!$C$50*Drivers!AB23</f>
        <v>1700</v>
      </c>
      <c r="AC9" s="24">
        <f>Assumptions!$C$50*Drivers!AC23</f>
        <v>1700</v>
      </c>
      <c r="AD9" s="24">
        <f>Assumptions!$C$50*Drivers!AD23</f>
        <v>1700</v>
      </c>
      <c r="AE9" s="24">
        <f>Assumptions!$C$50*Drivers!AE23</f>
        <v>1700</v>
      </c>
      <c r="AF9" s="24">
        <f>Assumptions!$C$50*Drivers!AF23</f>
        <v>1700</v>
      </c>
    </row>
    <row r="10" spans="2:32" ht="15" customHeight="1">
      <c r="B10" s="11" t="s">
        <v>354</v>
      </c>
      <c r="C10" s="24">
        <f>Assumptions!$C$51*Drivers!C23</f>
        <v>1300</v>
      </c>
      <c r="D10" s="24">
        <f>Assumptions!$C$51*Drivers!D23</f>
        <v>1300</v>
      </c>
      <c r="E10" s="24">
        <f>Assumptions!$C$51*Drivers!E23</f>
        <v>1300</v>
      </c>
      <c r="F10" s="24">
        <f>Assumptions!$C$51*Drivers!F23</f>
        <v>1300</v>
      </c>
      <c r="G10" s="24">
        <f>Assumptions!$C$51*Drivers!G23</f>
        <v>1300</v>
      </c>
      <c r="H10" s="24">
        <f>Assumptions!$C$51*Drivers!H23</f>
        <v>1300</v>
      </c>
      <c r="I10" s="24">
        <f>Assumptions!$C$51*Drivers!I23</f>
        <v>1300</v>
      </c>
      <c r="J10" s="24">
        <f>Assumptions!$C$51*Drivers!J23</f>
        <v>1300</v>
      </c>
      <c r="K10" s="24">
        <f>Assumptions!$C$51*Drivers!K23</f>
        <v>1300</v>
      </c>
      <c r="L10" s="24">
        <f>Assumptions!$C$51*Drivers!L23</f>
        <v>1300</v>
      </c>
      <c r="M10" s="24">
        <f>Assumptions!$C$51*Drivers!M23</f>
        <v>1300</v>
      </c>
      <c r="N10" s="24">
        <f>Assumptions!$C$51*Drivers!N23</f>
        <v>1300</v>
      </c>
      <c r="O10" s="24">
        <f>Assumptions!$C$51*Drivers!O23</f>
        <v>1300</v>
      </c>
      <c r="P10" s="24">
        <f>Assumptions!$C$51*Drivers!P23</f>
        <v>1300</v>
      </c>
      <c r="Q10" s="24">
        <f>Assumptions!$C$51*Drivers!Q23</f>
        <v>1300</v>
      </c>
      <c r="R10" s="24">
        <f>Assumptions!$C$51*Drivers!R23</f>
        <v>1300</v>
      </c>
      <c r="S10" s="24">
        <f>Assumptions!$C$51*Drivers!S23</f>
        <v>1300</v>
      </c>
      <c r="T10" s="24">
        <f>Assumptions!$C$51*Drivers!T23</f>
        <v>1300</v>
      </c>
      <c r="U10" s="24">
        <f>Assumptions!$C$51*Drivers!U23</f>
        <v>1300</v>
      </c>
      <c r="V10" s="24">
        <f>Assumptions!$C$51*Drivers!V23</f>
        <v>1300</v>
      </c>
      <c r="W10" s="24">
        <f>Assumptions!$C$51*Drivers!W23</f>
        <v>1300</v>
      </c>
      <c r="X10" s="24">
        <f>Assumptions!$C$51*Drivers!X23</f>
        <v>1300</v>
      </c>
      <c r="Y10" s="24">
        <f>Assumptions!$C$51*Drivers!Y23</f>
        <v>1300</v>
      </c>
      <c r="Z10" s="24">
        <f>Assumptions!$C$51*Drivers!Z23</f>
        <v>1300</v>
      </c>
      <c r="AA10" s="24">
        <f>Assumptions!$C$51*Drivers!AA23</f>
        <v>1300</v>
      </c>
      <c r="AB10" s="24">
        <f>Assumptions!$C$51*Drivers!AB23</f>
        <v>1300</v>
      </c>
      <c r="AC10" s="24">
        <f>Assumptions!$C$51*Drivers!AC23</f>
        <v>1300</v>
      </c>
      <c r="AD10" s="24">
        <f>Assumptions!$C$51*Drivers!AD23</f>
        <v>1300</v>
      </c>
      <c r="AE10" s="24">
        <f>Assumptions!$C$51*Drivers!AE23</f>
        <v>1300</v>
      </c>
      <c r="AF10" s="24">
        <f>Assumptions!$C$51*Drivers!AF23</f>
        <v>1300</v>
      </c>
    </row>
    <row r="11" spans="2:32" ht="15" customHeight="1">
      <c r="B11" s="41" t="s">
        <v>355</v>
      </c>
      <c r="C11" s="42">
        <f>C6+C7+C8+C9+C10</f>
        <v>4842.9878399999998</v>
      </c>
      <c r="D11" s="42">
        <f>D6+D7+D8+D9+D10</f>
        <v>4846.7726400000001</v>
      </c>
      <c r="E11" s="42">
        <f>E6+E7+E8+E9+E10</f>
        <v>4852.0713599999999</v>
      </c>
      <c r="F11" s="42">
        <f>F6+F7+F8+F9+F10</f>
        <v>4859.6409600000006</v>
      </c>
      <c r="G11" s="42">
        <f>G6+G7+G8+G9+G10</f>
        <v>4868.3459999999995</v>
      </c>
      <c r="H11" s="42">
        <f>H6+H7+H8+H9+H10</f>
        <v>4877.808</v>
      </c>
      <c r="I11" s="42">
        <f>I6+I7+I8+I9+I10</f>
        <v>4896.732</v>
      </c>
      <c r="J11" s="42">
        <f>J6+J7+J8+J9+J10</f>
        <v>4927.0104000000001</v>
      </c>
      <c r="K11" s="42">
        <f>K6+K7+K8+K9+K10</f>
        <v>4968.6432000000004</v>
      </c>
      <c r="L11" s="42">
        <f>L6+L7+L8+L9+L10</f>
        <v>5134.32</v>
      </c>
      <c r="M11" s="42">
        <f>M6+M7+M8+M9+M10</f>
        <v>5322.7055999999993</v>
      </c>
      <c r="N11" s="42">
        <f>N6+N7+N8+N9+N10</f>
        <v>5744.04</v>
      </c>
      <c r="O11" s="42">
        <f>O6+O7+O8+O9+O10</f>
        <v>6018.88</v>
      </c>
      <c r="P11" s="42">
        <f>P6+P7+P8+P9+P10</f>
        <v>6435.1671999999999</v>
      </c>
      <c r="Q11" s="42">
        <f>Q6+Q7+Q8+Q9+Q10</f>
        <v>6751.8016000000007</v>
      </c>
      <c r="R11" s="42">
        <f>R6+R7+R8+R9+R10</f>
        <v>7198.3672000000006</v>
      </c>
      <c r="S11" s="42">
        <f>S6+S7+S8+S9+S10</f>
        <v>7690.3504000000003</v>
      </c>
      <c r="T11" s="42">
        <f>T6+T7+T8+T9+T10</f>
        <v>8308.48</v>
      </c>
      <c r="U11" s="42">
        <f>U6+U7+U8+U9+U10</f>
        <v>8579.6967999999997</v>
      </c>
      <c r="V11" s="42">
        <f>V6+V7+V8+V9+V10</f>
        <v>8743.6912000000011</v>
      </c>
      <c r="W11" s="42">
        <f>W6+W7+W8+W9+W10</f>
        <v>8907.6856000000007</v>
      </c>
      <c r="X11" s="42">
        <f>X6+X7+X8+X9+X10</f>
        <v>9071.68</v>
      </c>
      <c r="Y11" s="42">
        <f>Y6+Y7+Y8+Y9+Y10</f>
        <v>9342.8968000000004</v>
      </c>
      <c r="Z11" s="42">
        <f>Z6+Z7+Z8+Z9+Z10</f>
        <v>9506.8912</v>
      </c>
      <c r="AA11" s="42">
        <f>AA6+AA7+AA8+AA9+AA10</f>
        <v>9969.3703999999998</v>
      </c>
      <c r="AB11" s="42">
        <f>AB6+AB7+AB8+AB9+AB10</f>
        <v>10155.127039999999</v>
      </c>
      <c r="AC11" s="42">
        <f>AC6+AC7+AC8+AC9+AC10</f>
        <v>10450.944319999999</v>
      </c>
      <c r="AD11" s="42">
        <f>AD6+AD7+AD8+AD9+AD10</f>
        <v>10617.776960000001</v>
      </c>
      <c r="AE11" s="42">
        <f>AE6+AE7+AE8+AE9+AE10</f>
        <v>10902.23984</v>
      </c>
      <c r="AF11" s="42">
        <f>AF6+AF7+AF8+AF9+AF10</f>
        <v>11080.426879999999</v>
      </c>
    </row>
    <row r="12" spans="2:32" ht="15" customHeight="1">
      <c r="B12" s="15" t="s">
        <v>356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2:32" ht="15" customHeight="1">
      <c r="B13" s="11" t="s">
        <v>357</v>
      </c>
      <c r="C13" s="24">
        <f>MAX(0,MIN(Drivers!C9,100000)-Assumptions!$C$53)*Assumptions!$C$54+MAX(0,MIN(Drivers!C9,1000000)-100000)*Assumptions!$C$55+MAX(0,MIN(Drivers!C9,10000000)-1000000)*Assumptions!$C$56+MAX(0,Drivers!C9-10000000)*Assumptions!$C$57</f>
        <v>0</v>
      </c>
      <c r="D13" s="24">
        <f>MAX(0,MIN(Drivers!D9,100000)-Assumptions!$C$53)*Assumptions!$C$54+MAX(0,MIN(Drivers!D9,1000000)-100000)*Assumptions!$C$55+MAX(0,MIN(Drivers!D9,10000000)-1000000)*Assumptions!$C$56+MAX(0,Drivers!D9-10000000)*Assumptions!$C$57</f>
        <v>0</v>
      </c>
      <c r="E13" s="24">
        <f>MAX(0,MIN(Drivers!E9,100000)-Assumptions!$C$53)*Assumptions!$C$54+MAX(0,MIN(Drivers!E9,1000000)-100000)*Assumptions!$C$55+MAX(0,MIN(Drivers!E9,10000000)-1000000)*Assumptions!$C$56+MAX(0,Drivers!E9-10000000)*Assumptions!$C$57</f>
        <v>0</v>
      </c>
      <c r="F13" s="24">
        <f>MAX(0,MIN(Drivers!F9,100000)-Assumptions!$C$53)*Assumptions!$C$54+MAX(0,MIN(Drivers!F9,1000000)-100000)*Assumptions!$C$55+MAX(0,MIN(Drivers!F9,10000000)-1000000)*Assumptions!$C$56+MAX(0,Drivers!F9-10000000)*Assumptions!$C$57</f>
        <v>0</v>
      </c>
      <c r="G13" s="24">
        <f>MAX(0,MIN(Drivers!G9,100000)-Assumptions!$C$53)*Assumptions!$C$54+MAX(0,MIN(Drivers!G9,1000000)-100000)*Assumptions!$C$55+MAX(0,MIN(Drivers!G9,10000000)-1000000)*Assumptions!$C$56+MAX(0,Drivers!G9-10000000)*Assumptions!$C$57</f>
        <v>0</v>
      </c>
      <c r="H13" s="24">
        <f>MAX(0,MIN(Drivers!H9,100000)-Assumptions!$C$53)*Assumptions!$C$54+MAX(0,MIN(Drivers!H9,1000000)-100000)*Assumptions!$C$55+MAX(0,MIN(Drivers!H9,10000000)-1000000)*Assumptions!$C$56+MAX(0,Drivers!H9-10000000)*Assumptions!$C$57</f>
        <v>0</v>
      </c>
      <c r="I13" s="24">
        <f>MAX(0,MIN(Drivers!I9,100000)-Assumptions!$C$53)*Assumptions!$C$54+MAX(0,MIN(Drivers!I9,1000000)-100000)*Assumptions!$C$55+MAX(0,MIN(Drivers!I9,10000000)-1000000)*Assumptions!$C$56+MAX(0,Drivers!I9-10000000)*Assumptions!$C$57</f>
        <v>96.25</v>
      </c>
      <c r="J13" s="24">
        <f>MAX(0,MIN(Drivers!J9,100000)-Assumptions!$C$53)*Assumptions!$C$54+MAX(0,MIN(Drivers!J9,1000000)-100000)*Assumptions!$C$55+MAX(0,MIN(Drivers!J9,10000000)-1000000)*Assumptions!$C$56+MAX(0,Drivers!J9-10000000)*Assumptions!$C$57</f>
        <v>291.10000000000002</v>
      </c>
      <c r="K13" s="24">
        <f>MAX(0,MIN(Drivers!K9,100000)-Assumptions!$C$53)*Assumptions!$C$54+MAX(0,MIN(Drivers!K9,1000000)-100000)*Assumptions!$C$55+MAX(0,MIN(Drivers!K9,10000000)-1000000)*Assumptions!$C$56+MAX(0,Drivers!K9-10000000)*Assumptions!$C$57</f>
        <v>518.79999999999995</v>
      </c>
      <c r="L13" s="24">
        <f>MAX(0,MIN(Drivers!L9,100000)-Assumptions!$C$53)*Assumptions!$C$54+MAX(0,MIN(Drivers!L9,1000000)-100000)*Assumptions!$C$55+MAX(0,MIN(Drivers!L9,10000000)-1000000)*Assumptions!$C$56+MAX(0,Drivers!L9-10000000)*Assumptions!$C$57</f>
        <v>850</v>
      </c>
      <c r="M13" s="24">
        <f>MAX(0,MIN(Drivers!M9,100000)-Assumptions!$C$53)*Assumptions!$C$54+MAX(0,MIN(Drivers!M9,1000000)-100000)*Assumptions!$C$55+MAX(0,MIN(Drivers!M9,10000000)-1000000)*Assumptions!$C$56+MAX(0,Drivers!M9-10000000)*Assumptions!$C$57</f>
        <v>1305.4000000000001</v>
      </c>
      <c r="N13" s="24">
        <f>MAX(0,MIN(Drivers!N9,100000)-Assumptions!$C$53)*Assumptions!$C$54+MAX(0,MIN(Drivers!N9,1000000)-100000)*Assumptions!$C$55+MAX(0,MIN(Drivers!N9,10000000)-1000000)*Assumptions!$C$56+MAX(0,Drivers!N9-10000000)*Assumptions!$C$57</f>
        <v>1885</v>
      </c>
      <c r="O13" s="24">
        <f>MAX(0,MIN(Drivers!O9,100000)-Assumptions!$C$53)*Assumptions!$C$54+MAX(0,MIN(Drivers!O9,1000000)-100000)*Assumptions!$C$55+MAX(0,MIN(Drivers!O9,10000000)-1000000)*Assumptions!$C$56+MAX(0,Drivers!O9-10000000)*Assumptions!$C$57</f>
        <v>2299</v>
      </c>
      <c r="P13" s="24">
        <f>MAX(0,MIN(Drivers!P9,100000)-Assumptions!$C$53)*Assumptions!$C$54+MAX(0,MIN(Drivers!P9,1000000)-100000)*Assumptions!$C$55+MAX(0,MIN(Drivers!P9,10000000)-1000000)*Assumptions!$C$56+MAX(0,Drivers!P9-10000000)*Assumptions!$C$57</f>
        <v>2816.5</v>
      </c>
      <c r="Q13" s="24">
        <f>MAX(0,MIN(Drivers!Q9,100000)-Assumptions!$C$53)*Assumptions!$C$54+MAX(0,MIN(Drivers!Q9,1000000)-100000)*Assumptions!$C$55+MAX(0,MIN(Drivers!Q9,10000000)-1000000)*Assumptions!$C$56+MAX(0,Drivers!Q9-10000000)*Assumptions!$C$57</f>
        <v>3375.4</v>
      </c>
      <c r="R13" s="24">
        <f>MAX(0,MIN(Drivers!R9,100000)-Assumptions!$C$53)*Assumptions!$C$54+MAX(0,MIN(Drivers!R9,1000000)-100000)*Assumptions!$C$55+MAX(0,MIN(Drivers!R9,10000000)-1000000)*Assumptions!$C$56+MAX(0,Drivers!R9-10000000)*Assumptions!$C$57</f>
        <v>4058.5</v>
      </c>
      <c r="S13" s="24">
        <f>MAX(0,MIN(Drivers!S9,100000)-Assumptions!$C$53)*Assumptions!$C$54+MAX(0,MIN(Drivers!S9,1000000)-100000)*Assumptions!$C$55+MAX(0,MIN(Drivers!S9,10000000)-1000000)*Assumptions!$C$56+MAX(0,Drivers!S9-10000000)*Assumptions!$C$57</f>
        <v>4821.25</v>
      </c>
      <c r="T13" s="24">
        <f>MAX(0,MIN(Drivers!T9,100000)-Assumptions!$C$53)*Assumptions!$C$54+MAX(0,MIN(Drivers!T9,1000000)-100000)*Assumptions!$C$55+MAX(0,MIN(Drivers!T9,10000000)-1000000)*Assumptions!$C$56+MAX(0,Drivers!T9-10000000)*Assumptions!$C$57</f>
        <v>5552.5</v>
      </c>
      <c r="U13" s="24">
        <f>MAX(0,MIN(Drivers!U9,100000)-Assumptions!$C$53)*Assumptions!$C$54+MAX(0,MIN(Drivers!U9,1000000)-100000)*Assumptions!$C$55+MAX(0,MIN(Drivers!U9,10000000)-1000000)*Assumptions!$C$56+MAX(0,Drivers!U9-10000000)*Assumptions!$C$57</f>
        <v>5771.875</v>
      </c>
      <c r="V13" s="24">
        <f>MAX(0,MIN(Drivers!V9,100000)-Assumptions!$C$53)*Assumptions!$C$54+MAX(0,MIN(Drivers!V9,1000000)-100000)*Assumptions!$C$55+MAX(0,MIN(Drivers!V9,10000000)-1000000)*Assumptions!$C$56+MAX(0,Drivers!V9-10000000)*Assumptions!$C$57</f>
        <v>5991.25</v>
      </c>
      <c r="W13" s="24">
        <f>MAX(0,MIN(Drivers!W9,100000)-Assumptions!$C$53)*Assumptions!$C$54+MAX(0,MIN(Drivers!W9,1000000)-100000)*Assumptions!$C$55+MAX(0,MIN(Drivers!W9,10000000)-1000000)*Assumptions!$C$56+MAX(0,Drivers!W9-10000000)*Assumptions!$C$57</f>
        <v>6210.625</v>
      </c>
      <c r="X13" s="24">
        <f>MAX(0,MIN(Drivers!X9,100000)-Assumptions!$C$53)*Assumptions!$C$54+MAX(0,MIN(Drivers!X9,1000000)-100000)*Assumptions!$C$55+MAX(0,MIN(Drivers!X9,10000000)-1000000)*Assumptions!$C$56+MAX(0,Drivers!X9-10000000)*Assumptions!$C$57</f>
        <v>6430</v>
      </c>
      <c r="Y13" s="24">
        <f>MAX(0,MIN(Drivers!Y9,100000)-Assumptions!$C$53)*Assumptions!$C$54+MAX(0,MIN(Drivers!Y9,1000000)-100000)*Assumptions!$C$55+MAX(0,MIN(Drivers!Y9,10000000)-1000000)*Assumptions!$C$56+MAX(0,Drivers!Y9-10000000)*Assumptions!$C$57</f>
        <v>6649.375</v>
      </c>
      <c r="Z13" s="24">
        <f>MAX(0,MIN(Drivers!Z9,100000)-Assumptions!$C$53)*Assumptions!$C$54+MAX(0,MIN(Drivers!Z9,1000000)-100000)*Assumptions!$C$55+MAX(0,MIN(Drivers!Z9,10000000)-1000000)*Assumptions!$C$56+MAX(0,Drivers!Z9-10000000)*Assumptions!$C$57</f>
        <v>6868.75</v>
      </c>
      <c r="AA13" s="24">
        <f>MAX(0,MIN(Drivers!AA9,100000)-Assumptions!$C$53)*Assumptions!$C$54+MAX(0,MIN(Drivers!AA9,1000000)-100000)*Assumptions!$C$55+MAX(0,MIN(Drivers!AA9,10000000)-1000000)*Assumptions!$C$56+MAX(0,Drivers!AA9-10000000)*Assumptions!$C$57</f>
        <v>7161.25</v>
      </c>
      <c r="AB13" s="24">
        <f>MAX(0,MIN(Drivers!AB9,100000)-Assumptions!$C$53)*Assumptions!$C$54+MAX(0,MIN(Drivers!AB9,1000000)-100000)*Assumptions!$C$55+MAX(0,MIN(Drivers!AB9,10000000)-1000000)*Assumptions!$C$56+MAX(0,Drivers!AB9-10000000)*Assumptions!$C$57</f>
        <v>7453.75</v>
      </c>
      <c r="AC13" s="24">
        <f>MAX(0,MIN(Drivers!AC9,100000)-Assumptions!$C$53)*Assumptions!$C$54+MAX(0,MIN(Drivers!AC9,1000000)-100000)*Assumptions!$C$55+MAX(0,MIN(Drivers!AC9,10000000)-1000000)*Assumptions!$C$56+MAX(0,Drivers!AC9-10000000)*Assumptions!$C$57</f>
        <v>7746.25</v>
      </c>
      <c r="AD13" s="24">
        <f>MAX(0,MIN(Drivers!AD9,100000)-Assumptions!$C$53)*Assumptions!$C$54+MAX(0,MIN(Drivers!AD9,1000000)-100000)*Assumptions!$C$55+MAX(0,MIN(Drivers!AD9,10000000)-1000000)*Assumptions!$C$56+MAX(0,Drivers!AD9-10000000)*Assumptions!$C$57</f>
        <v>7965.625</v>
      </c>
      <c r="AE13" s="24">
        <f>MAX(0,MIN(Drivers!AE9,100000)-Assumptions!$C$53)*Assumptions!$C$54+MAX(0,MIN(Drivers!AE9,1000000)-100000)*Assumptions!$C$55+MAX(0,MIN(Drivers!AE9,10000000)-1000000)*Assumptions!$C$56+MAX(0,Drivers!AE9-10000000)*Assumptions!$C$57</f>
        <v>8214.25</v>
      </c>
      <c r="AF13" s="24">
        <f>MAX(0,MIN(Drivers!AF9,100000)-Assumptions!$C$53)*Assumptions!$C$54+MAX(0,MIN(Drivers!AF9,1000000)-100000)*Assumptions!$C$55+MAX(0,MIN(Drivers!AF9,10000000)-1000000)*Assumptions!$C$56+MAX(0,Drivers!AF9-10000000)*Assumptions!$C$57</f>
        <v>8477.5</v>
      </c>
    </row>
    <row r="14" spans="2:32" ht="15" customHeight="1">
      <c r="B14" s="11" t="s">
        <v>358</v>
      </c>
      <c r="C14" s="24">
        <f>Assumptions!$C$58*Drivers!C24+Drivers!C18*Assumptions!$C$59</f>
        <v>77.188800000000001</v>
      </c>
      <c r="D14" s="24">
        <f>Assumptions!$C$58*Drivers!D24+Drivers!D18*Assumptions!$C$59</f>
        <v>79.924800000000005</v>
      </c>
      <c r="E14" s="24">
        <f>Assumptions!$C$58*Drivers!E24+Drivers!E18*Assumptions!$C$59</f>
        <v>83.755200000000002</v>
      </c>
      <c r="F14" s="24">
        <f>Assumptions!$C$58*Drivers!F24+Drivers!F18*Assumptions!$C$59</f>
        <v>89.227199999999996</v>
      </c>
      <c r="G14" s="24">
        <f>Assumptions!$C$58*Drivers!G24+Drivers!G18*Assumptions!$C$59</f>
        <v>95.52</v>
      </c>
      <c r="H14" s="24">
        <f>Assumptions!$C$58*Drivers!H24+Drivers!H18*Assumptions!$C$59</f>
        <v>102.36</v>
      </c>
      <c r="I14" s="24">
        <f>Assumptions!$C$58*Drivers!I24+Drivers!I18*Assumptions!$C$59</f>
        <v>116.03999999999999</v>
      </c>
      <c r="J14" s="24">
        <f>Assumptions!$C$58*Drivers!J24+Drivers!J18*Assumptions!$C$59</f>
        <v>137.928</v>
      </c>
      <c r="K14" s="24">
        <f>Assumptions!$C$58*Drivers!K24+Drivers!K18*Assumptions!$C$59</f>
        <v>168.024</v>
      </c>
      <c r="L14" s="24">
        <f>Assumptions!$C$58*Drivers!L24+Drivers!L18*Assumptions!$C$59</f>
        <v>211.79999999999998</v>
      </c>
      <c r="M14" s="24">
        <f>Assumptions!$C$58*Drivers!M24+Drivers!M18*Assumptions!$C$59</f>
        <v>271.99199999999996</v>
      </c>
      <c r="N14" s="24">
        <f>Assumptions!$C$58*Drivers!N24+Drivers!N18*Assumptions!$C$59</f>
        <v>348.59999999999997</v>
      </c>
      <c r="O14" s="24">
        <f>Assumptions!$C$58*Drivers!O24+Drivers!O18*Assumptions!$C$59</f>
        <v>428.32</v>
      </c>
      <c r="P14" s="24">
        <f>Assumptions!$C$58*Drivers!P24+Drivers!P18*Assumptions!$C$59</f>
        <v>496.72</v>
      </c>
      <c r="Q14" s="24">
        <f>Assumptions!$C$58*Drivers!Q24+Drivers!Q18*Assumptions!$C$59</f>
        <v>570.59199999999998</v>
      </c>
      <c r="R14" s="24">
        <f>Assumptions!$C$58*Drivers!R24+Drivers!R18*Assumptions!$C$59</f>
        <v>660.88</v>
      </c>
      <c r="S14" s="24">
        <f>Assumptions!$C$58*Drivers!S24+Drivers!S18*Assumptions!$C$59</f>
        <v>784</v>
      </c>
      <c r="T14" s="24">
        <f>Assumptions!$C$58*Drivers!T24+Drivers!T18*Assumptions!$C$59</f>
        <v>920.8</v>
      </c>
      <c r="U14" s="24">
        <f>Assumptions!$C$58*Drivers!U24+Drivers!U18*Assumptions!$C$59</f>
        <v>961.84</v>
      </c>
      <c r="V14" s="24">
        <f>Assumptions!$C$58*Drivers!V24+Drivers!V18*Assumptions!$C$59</f>
        <v>1002.88</v>
      </c>
      <c r="W14" s="24">
        <f>Assumptions!$C$58*Drivers!W24+Drivers!W18*Assumptions!$C$59</f>
        <v>1043.92</v>
      </c>
      <c r="X14" s="24">
        <f>Assumptions!$C$58*Drivers!X24+Drivers!X18*Assumptions!$C$59</f>
        <v>1084.96</v>
      </c>
      <c r="Y14" s="24">
        <f>Assumptions!$C$58*Drivers!Y24+Drivers!Y18*Assumptions!$C$59</f>
        <v>1126</v>
      </c>
      <c r="Z14" s="24">
        <f>Assumptions!$C$58*Drivers!Z24+Drivers!Z18*Assumptions!$C$59</f>
        <v>1167.04</v>
      </c>
      <c r="AA14" s="24">
        <f>Assumptions!$C$58*Drivers!AA24+Drivers!AA18*Assumptions!$C$59</f>
        <v>1246.76</v>
      </c>
      <c r="AB14" s="24">
        <f>Assumptions!$C$58*Drivers!AB24+Drivers!AB18*Assumptions!$C$59</f>
        <v>1301.48</v>
      </c>
      <c r="AC14" s="24">
        <f>Assumptions!$C$58*Drivers!AC24+Drivers!AC18*Assumptions!$C$59</f>
        <v>1356.2</v>
      </c>
      <c r="AD14" s="24">
        <f>Assumptions!$C$58*Drivers!AD24+Drivers!AD18*Assumptions!$C$59</f>
        <v>1397.24</v>
      </c>
      <c r="AE14" s="24">
        <f>Assumptions!$C$58*Drivers!AE24+Drivers!AE18*Assumptions!$C$59</f>
        <v>1443.752</v>
      </c>
      <c r="AF14" s="24">
        <f>Assumptions!$C$58*Drivers!AF24+Drivers!AF18*Assumptions!$C$59</f>
        <v>1493</v>
      </c>
    </row>
    <row r="15" spans="2:32" ht="15" customHeight="1">
      <c r="B15" s="41" t="s">
        <v>359</v>
      </c>
      <c r="C15" s="42">
        <f>C13+C14</f>
        <v>77.188800000000001</v>
      </c>
      <c r="D15" s="42">
        <f>D13+D14</f>
        <v>79.924800000000005</v>
      </c>
      <c r="E15" s="42">
        <f>E13+E14</f>
        <v>83.755200000000002</v>
      </c>
      <c r="F15" s="42">
        <f>F13+F14</f>
        <v>89.227199999999996</v>
      </c>
      <c r="G15" s="42">
        <f>G13+G14</f>
        <v>95.52</v>
      </c>
      <c r="H15" s="42">
        <f>H13+H14</f>
        <v>102.36</v>
      </c>
      <c r="I15" s="42">
        <f>I13+I14</f>
        <v>212.29</v>
      </c>
      <c r="J15" s="42">
        <f>J13+J14</f>
        <v>429.02800000000002</v>
      </c>
      <c r="K15" s="42">
        <f>K13+K14</f>
        <v>686.82399999999996</v>
      </c>
      <c r="L15" s="42">
        <f>L13+L14</f>
        <v>1061.8</v>
      </c>
      <c r="M15" s="42">
        <f>M13+M14</f>
        <v>1577.3920000000001</v>
      </c>
      <c r="N15" s="42">
        <f>N13+N14</f>
        <v>2233.6</v>
      </c>
      <c r="O15" s="42">
        <f>O13+O14</f>
        <v>2727.32</v>
      </c>
      <c r="P15" s="42">
        <f>P13+P14</f>
        <v>3313.2200000000003</v>
      </c>
      <c r="Q15" s="42">
        <f>Q13+Q14</f>
        <v>3945.9920000000002</v>
      </c>
      <c r="R15" s="42">
        <f>R13+R14</f>
        <v>4719.38</v>
      </c>
      <c r="S15" s="42">
        <f>S13+S14</f>
        <v>5605.25</v>
      </c>
      <c r="T15" s="42">
        <f>T13+T14</f>
        <v>6473.3</v>
      </c>
      <c r="U15" s="42">
        <f>U13+U14</f>
        <v>6733.7150000000001</v>
      </c>
      <c r="V15" s="42">
        <f>V13+V14</f>
        <v>6994.13</v>
      </c>
      <c r="W15" s="42">
        <f>W13+W14</f>
        <v>7254.5450000000001</v>
      </c>
      <c r="X15" s="42">
        <f>X13+X14</f>
        <v>7514.96</v>
      </c>
      <c r="Y15" s="42">
        <f>Y13+Y14</f>
        <v>7775.375</v>
      </c>
      <c r="Z15" s="42">
        <f>Z13+Z14</f>
        <v>8035.79</v>
      </c>
      <c r="AA15" s="42">
        <f>AA13+AA14</f>
        <v>8408.01</v>
      </c>
      <c r="AB15" s="42">
        <f>AB13+AB14</f>
        <v>8755.23</v>
      </c>
      <c r="AC15" s="42">
        <f>AC13+AC14</f>
        <v>9102.4500000000007</v>
      </c>
      <c r="AD15" s="42">
        <f>AD13+AD14</f>
        <v>9362.8649999999998</v>
      </c>
      <c r="AE15" s="42">
        <f>AE13+AE14</f>
        <v>9658.0020000000004</v>
      </c>
      <c r="AF15" s="42">
        <f>AF13+AF14</f>
        <v>9970.5</v>
      </c>
    </row>
    <row r="16" spans="2:32" ht="15" customHeight="1">
      <c r="B16" s="15" t="s">
        <v>360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</row>
    <row r="17" spans="2:32" ht="15" customHeight="1">
      <c r="B17" s="11" t="s">
        <v>361</v>
      </c>
      <c r="C17" s="24">
        <f>Assumptions!$C$61*Assumptions!$C$62*730*Drivers!C24</f>
        <v>98.550000000000011</v>
      </c>
      <c r="D17" s="24">
        <f>Assumptions!$C$61*Assumptions!$C$62*730*Drivers!D24</f>
        <v>98.550000000000011</v>
      </c>
      <c r="E17" s="24">
        <f>Assumptions!$C$61*Assumptions!$C$62*730*Drivers!E24</f>
        <v>98.550000000000011</v>
      </c>
      <c r="F17" s="24">
        <f>Assumptions!$C$61*Assumptions!$C$62*730*Drivers!F24</f>
        <v>98.550000000000011</v>
      </c>
      <c r="G17" s="24">
        <f>Assumptions!$C$61*Assumptions!$C$62*730*Drivers!G24</f>
        <v>98.550000000000011</v>
      </c>
      <c r="H17" s="24">
        <f>Assumptions!$C$61*Assumptions!$C$62*730*Drivers!H24</f>
        <v>98.550000000000011</v>
      </c>
      <c r="I17" s="24">
        <f>Assumptions!$C$61*Assumptions!$C$62*730*Drivers!I24</f>
        <v>98.550000000000011</v>
      </c>
      <c r="J17" s="24">
        <f>Assumptions!$C$61*Assumptions!$C$62*730*Drivers!J24</f>
        <v>98.550000000000011</v>
      </c>
      <c r="K17" s="24">
        <f>Assumptions!$C$61*Assumptions!$C$62*730*Drivers!K24</f>
        <v>98.550000000000011</v>
      </c>
      <c r="L17" s="24">
        <f>Assumptions!$C$61*Assumptions!$C$62*730*Drivers!L24</f>
        <v>98.550000000000011</v>
      </c>
      <c r="M17" s="24">
        <f>Assumptions!$C$61*Assumptions!$C$62*730*Drivers!M24</f>
        <v>98.550000000000011</v>
      </c>
      <c r="N17" s="24">
        <f>Assumptions!$C$61*Assumptions!$C$62*730*Drivers!N24</f>
        <v>98.550000000000011</v>
      </c>
      <c r="O17" s="24">
        <f>Assumptions!$C$61*Assumptions!$C$62*730*Drivers!O24</f>
        <v>131.4</v>
      </c>
      <c r="P17" s="24">
        <f>Assumptions!$C$61*Assumptions!$C$62*730*Drivers!P24</f>
        <v>131.4</v>
      </c>
      <c r="Q17" s="24">
        <f>Assumptions!$C$61*Assumptions!$C$62*730*Drivers!Q24</f>
        <v>131.4</v>
      </c>
      <c r="R17" s="24">
        <f>Assumptions!$C$61*Assumptions!$C$62*730*Drivers!R24</f>
        <v>131.4</v>
      </c>
      <c r="S17" s="24">
        <f>Assumptions!$C$61*Assumptions!$C$62*730*Drivers!S24</f>
        <v>131.4</v>
      </c>
      <c r="T17" s="24">
        <f>Assumptions!$C$61*Assumptions!$C$62*730*Drivers!T24</f>
        <v>131.4</v>
      </c>
      <c r="U17" s="24">
        <f>Assumptions!$C$61*Assumptions!$C$62*730*Drivers!U24</f>
        <v>131.4</v>
      </c>
      <c r="V17" s="24">
        <f>Assumptions!$C$61*Assumptions!$C$62*730*Drivers!V24</f>
        <v>131.4</v>
      </c>
      <c r="W17" s="24">
        <f>Assumptions!$C$61*Assumptions!$C$62*730*Drivers!W24</f>
        <v>131.4</v>
      </c>
      <c r="X17" s="24">
        <f>Assumptions!$C$61*Assumptions!$C$62*730*Drivers!X24</f>
        <v>131.4</v>
      </c>
      <c r="Y17" s="24">
        <f>Assumptions!$C$61*Assumptions!$C$62*730*Drivers!Y24</f>
        <v>131.4</v>
      </c>
      <c r="Z17" s="24">
        <f>Assumptions!$C$61*Assumptions!$C$62*730*Drivers!Z24</f>
        <v>131.4</v>
      </c>
      <c r="AA17" s="24">
        <f>Assumptions!$C$61*Assumptions!$C$62*730*Drivers!AA24</f>
        <v>164.25</v>
      </c>
      <c r="AB17" s="24">
        <f>Assumptions!$C$61*Assumptions!$C$62*730*Drivers!AB24</f>
        <v>164.25</v>
      </c>
      <c r="AC17" s="24">
        <f>Assumptions!$C$61*Assumptions!$C$62*730*Drivers!AC24</f>
        <v>164.25</v>
      </c>
      <c r="AD17" s="24">
        <f>Assumptions!$C$61*Assumptions!$C$62*730*Drivers!AD24</f>
        <v>164.25</v>
      </c>
      <c r="AE17" s="24">
        <f>Assumptions!$C$61*Assumptions!$C$62*730*Drivers!AE24</f>
        <v>164.25</v>
      </c>
      <c r="AF17" s="24">
        <f>Assumptions!$C$61*Assumptions!$C$62*730*Drivers!AF24</f>
        <v>164.25</v>
      </c>
    </row>
    <row r="18" spans="2:32" ht="15" customHeight="1">
      <c r="B18" s="11" t="s">
        <v>362</v>
      </c>
      <c r="C18" s="24">
        <f>Assumptions!$C$65*Assumptions!$C$66*730*Drivers!C24</f>
        <v>197.10000000000002</v>
      </c>
      <c r="D18" s="24">
        <f>Assumptions!$C$65*Assumptions!$C$66*730*Drivers!D24</f>
        <v>197.10000000000002</v>
      </c>
      <c r="E18" s="24">
        <f>Assumptions!$C$65*Assumptions!$C$66*730*Drivers!E24</f>
        <v>197.10000000000002</v>
      </c>
      <c r="F18" s="24">
        <f>Assumptions!$C$65*Assumptions!$C$66*730*Drivers!F24</f>
        <v>197.10000000000002</v>
      </c>
      <c r="G18" s="24">
        <f>Assumptions!$C$65*Assumptions!$C$66*730*Drivers!G24</f>
        <v>197.10000000000002</v>
      </c>
      <c r="H18" s="24">
        <f>Assumptions!$C$65*Assumptions!$C$66*730*Drivers!H24</f>
        <v>197.10000000000002</v>
      </c>
      <c r="I18" s="24">
        <f>Assumptions!$C$65*Assumptions!$C$66*730*Drivers!I24</f>
        <v>197.10000000000002</v>
      </c>
      <c r="J18" s="24">
        <f>Assumptions!$C$65*Assumptions!$C$66*730*Drivers!J24</f>
        <v>197.10000000000002</v>
      </c>
      <c r="K18" s="24">
        <f>Assumptions!$C$65*Assumptions!$C$66*730*Drivers!K24</f>
        <v>197.10000000000002</v>
      </c>
      <c r="L18" s="24">
        <f>Assumptions!$C$65*Assumptions!$C$66*730*Drivers!L24</f>
        <v>197.10000000000002</v>
      </c>
      <c r="M18" s="24">
        <f>Assumptions!$C$65*Assumptions!$C$66*730*Drivers!M24</f>
        <v>197.10000000000002</v>
      </c>
      <c r="N18" s="24">
        <f>Assumptions!$C$65*Assumptions!$C$66*730*Drivers!N24</f>
        <v>197.10000000000002</v>
      </c>
      <c r="O18" s="24">
        <f>Assumptions!$C$65*Assumptions!$C$66*730*Drivers!O24</f>
        <v>262.8</v>
      </c>
      <c r="P18" s="24">
        <f>Assumptions!$C$65*Assumptions!$C$66*730*Drivers!P24</f>
        <v>262.8</v>
      </c>
      <c r="Q18" s="24">
        <f>Assumptions!$C$65*Assumptions!$C$66*730*Drivers!Q24</f>
        <v>262.8</v>
      </c>
      <c r="R18" s="24">
        <f>Assumptions!$C$65*Assumptions!$C$66*730*Drivers!R24</f>
        <v>262.8</v>
      </c>
      <c r="S18" s="24">
        <f>Assumptions!$C$65*Assumptions!$C$66*730*Drivers!S24</f>
        <v>262.8</v>
      </c>
      <c r="T18" s="24">
        <f>Assumptions!$C$65*Assumptions!$C$66*730*Drivers!T24</f>
        <v>262.8</v>
      </c>
      <c r="U18" s="24">
        <f>Assumptions!$C$65*Assumptions!$C$66*730*Drivers!U24</f>
        <v>262.8</v>
      </c>
      <c r="V18" s="24">
        <f>Assumptions!$C$65*Assumptions!$C$66*730*Drivers!V24</f>
        <v>262.8</v>
      </c>
      <c r="W18" s="24">
        <f>Assumptions!$C$65*Assumptions!$C$66*730*Drivers!W24</f>
        <v>262.8</v>
      </c>
      <c r="X18" s="24">
        <f>Assumptions!$C$65*Assumptions!$C$66*730*Drivers!X24</f>
        <v>262.8</v>
      </c>
      <c r="Y18" s="24">
        <f>Assumptions!$C$65*Assumptions!$C$66*730*Drivers!Y24</f>
        <v>262.8</v>
      </c>
      <c r="Z18" s="24">
        <f>Assumptions!$C$65*Assumptions!$C$66*730*Drivers!Z24</f>
        <v>262.8</v>
      </c>
      <c r="AA18" s="24">
        <f>Assumptions!$C$65*Assumptions!$C$66*730*Drivers!AA24</f>
        <v>328.5</v>
      </c>
      <c r="AB18" s="24">
        <f>Assumptions!$C$65*Assumptions!$C$66*730*Drivers!AB24</f>
        <v>328.5</v>
      </c>
      <c r="AC18" s="24">
        <f>Assumptions!$C$65*Assumptions!$C$66*730*Drivers!AC24</f>
        <v>328.5</v>
      </c>
      <c r="AD18" s="24">
        <f>Assumptions!$C$65*Assumptions!$C$66*730*Drivers!AD24</f>
        <v>328.5</v>
      </c>
      <c r="AE18" s="24">
        <f>Assumptions!$C$65*Assumptions!$C$66*730*Drivers!AE24</f>
        <v>328.5</v>
      </c>
      <c r="AF18" s="24">
        <f>Assumptions!$C$65*Assumptions!$C$66*730*Drivers!AF24</f>
        <v>328.5</v>
      </c>
    </row>
    <row r="19" spans="2:32" ht="15" customHeight="1">
      <c r="B19" s="11" t="s">
        <v>363</v>
      </c>
      <c r="C19" s="24">
        <f>Drivers!C18*Assumptions!$C$63*Drivers!C22</f>
        <v>0.36480000000000001</v>
      </c>
      <c r="D19" s="24">
        <f>Drivers!D18*Assumptions!$C$63*Drivers!D22</f>
        <v>0.82080000000000009</v>
      </c>
      <c r="E19" s="24">
        <f>Drivers!E18*Assumptions!$C$63*Drivers!E22</f>
        <v>1.4592000000000001</v>
      </c>
      <c r="F19" s="24">
        <f>Drivers!F18*Assumptions!$C$63*Drivers!F22</f>
        <v>2.3712</v>
      </c>
      <c r="G19" s="24">
        <f>Drivers!G18*Assumptions!$C$63*Drivers!G22</f>
        <v>3.4200000000000004</v>
      </c>
      <c r="H19" s="24">
        <f>Drivers!H18*Assumptions!$C$63*Drivers!H22</f>
        <v>4.5600000000000005</v>
      </c>
      <c r="I19" s="24">
        <f>Drivers!I18*Assumptions!$C$63*Drivers!I22</f>
        <v>6.8400000000000007</v>
      </c>
      <c r="J19" s="24">
        <f>Drivers!J18*Assumptions!$C$63*Drivers!J22</f>
        <v>10.488</v>
      </c>
      <c r="K19" s="24">
        <f>Drivers!K18*Assumptions!$C$63*Drivers!K22</f>
        <v>15.504</v>
      </c>
      <c r="L19" s="24">
        <f>Drivers!L18*Assumptions!$C$63*Drivers!L22</f>
        <v>22.8</v>
      </c>
      <c r="M19" s="24">
        <f>Drivers!M18*Assumptions!$C$63*Drivers!M22</f>
        <v>32.832000000000001</v>
      </c>
      <c r="N19" s="24">
        <f>Drivers!N18*Assumptions!$C$63*Drivers!N22</f>
        <v>45.6</v>
      </c>
      <c r="O19" s="24">
        <f>Drivers!O18*Assumptions!$C$63*Drivers!O22</f>
        <v>55.814400000000006</v>
      </c>
      <c r="P19" s="24">
        <f>Drivers!P18*Assumptions!$C$63*Drivers!P22</f>
        <v>67.442400000000006</v>
      </c>
      <c r="Q19" s="24">
        <f>Drivers!Q18*Assumptions!$C$63*Drivers!Q22</f>
        <v>80.000640000000018</v>
      </c>
      <c r="R19" s="24">
        <f>Drivers!R18*Assumptions!$C$63*Drivers!R22</f>
        <v>95.349600000000009</v>
      </c>
      <c r="S19" s="24">
        <f>Drivers!S18*Assumptions!$C$63*Drivers!S22</f>
        <v>116.28</v>
      </c>
      <c r="T19" s="24">
        <f>Drivers!T18*Assumptions!$C$63*Drivers!T22</f>
        <v>139.536</v>
      </c>
      <c r="U19" s="24">
        <f>Drivers!U18*Assumptions!$C$63*Drivers!U22</f>
        <v>146.51280000000003</v>
      </c>
      <c r="V19" s="24">
        <f>Drivers!V18*Assumptions!$C$63*Drivers!V22</f>
        <v>153.4896</v>
      </c>
      <c r="W19" s="24">
        <f>Drivers!W18*Assumptions!$C$63*Drivers!W22</f>
        <v>160.46640000000002</v>
      </c>
      <c r="X19" s="24">
        <f>Drivers!X18*Assumptions!$C$63*Drivers!X22</f>
        <v>167.44319999999999</v>
      </c>
      <c r="Y19" s="24">
        <f>Drivers!Y18*Assumptions!$C$63*Drivers!Y22</f>
        <v>174.42000000000002</v>
      </c>
      <c r="Z19" s="24">
        <f>Drivers!Z18*Assumptions!$C$63*Drivers!Z22</f>
        <v>181.39680000000004</v>
      </c>
      <c r="AA19" s="24">
        <f>Drivers!AA18*Assumptions!$C$63*Drivers!AA22</f>
        <v>195.74712</v>
      </c>
      <c r="AB19" s="24">
        <f>Drivers!AB18*Assumptions!$C$63*Drivers!AB22</f>
        <v>205.29576</v>
      </c>
      <c r="AC19" s="24">
        <f>Drivers!AC18*Assumptions!$C$63*Drivers!AC22</f>
        <v>214.84440000000001</v>
      </c>
      <c r="AD19" s="24">
        <f>Drivers!AD18*Assumptions!$C$63*Drivers!AD22</f>
        <v>222.00588000000002</v>
      </c>
      <c r="AE19" s="24">
        <f>Drivers!AE18*Assumptions!$C$63*Drivers!AE22</f>
        <v>230.12222400000002</v>
      </c>
      <c r="AF19" s="24">
        <f>Drivers!AF18*Assumptions!$C$63*Drivers!AF22</f>
        <v>238.71599999999998</v>
      </c>
    </row>
    <row r="20" spans="2:32" ht="15" customHeight="1">
      <c r="B20" s="11" t="s">
        <v>364</v>
      </c>
      <c r="C20" s="24">
        <f>Drivers!C17*Assumptions!$C$64*Drivers!C22</f>
        <v>20.0390625</v>
      </c>
      <c r="D20" s="24">
        <f>Drivers!D17*Assumptions!$C$64*Drivers!D22</f>
        <v>45.087890625</v>
      </c>
      <c r="E20" s="24">
        <f>Drivers!E17*Assumptions!$C$64*Drivers!E22</f>
        <v>80.15625</v>
      </c>
      <c r="F20" s="24">
        <f>Drivers!F17*Assumptions!$C$64*Drivers!F22</f>
        <v>130.25390625</v>
      </c>
      <c r="G20" s="24">
        <f>Drivers!G17*Assumptions!$C$64*Drivers!G22</f>
        <v>187.8662109375</v>
      </c>
      <c r="H20" s="24">
        <f>Drivers!H17*Assumptions!$C$64*Drivers!H22</f>
        <v>250.48828125</v>
      </c>
      <c r="I20" s="24">
        <f>Drivers!I17*Assumptions!$C$64*Drivers!I22</f>
        <v>375.732421875</v>
      </c>
      <c r="J20" s="24">
        <f>Drivers!J17*Assumptions!$C$64*Drivers!J22</f>
        <v>576.123046875</v>
      </c>
      <c r="K20" s="24">
        <f>Drivers!K17*Assumptions!$C$64*Drivers!K22</f>
        <v>851.66015625</v>
      </c>
      <c r="L20" s="24">
        <f>Drivers!L17*Assumptions!$C$64*Drivers!L22</f>
        <v>1252.44140625</v>
      </c>
      <c r="M20" s="24">
        <f>Drivers!M17*Assumptions!$C$64*Drivers!M22</f>
        <v>1803.515625</v>
      </c>
      <c r="N20" s="24">
        <f>Drivers!N17*Assumptions!$C$64*Drivers!N22</f>
        <v>2504.8828125</v>
      </c>
      <c r="O20" s="24">
        <f>Drivers!O17*Assumptions!$C$64*Drivers!O22</f>
        <v>3065.9765625</v>
      </c>
      <c r="P20" s="24">
        <f>Drivers!P17*Assumptions!$C$64*Drivers!P22</f>
        <v>3704.7216796875</v>
      </c>
      <c r="Q20" s="24">
        <f>Drivers!Q17*Assumptions!$C$64*Drivers!Q22</f>
        <v>4394.56640625</v>
      </c>
      <c r="R20" s="24">
        <f>Drivers!R17*Assumptions!$C$64*Drivers!R22</f>
        <v>5237.7099609375</v>
      </c>
      <c r="S20" s="24">
        <f>Drivers!S17*Assumptions!$C$64*Drivers!S22</f>
        <v>6387.451171875</v>
      </c>
      <c r="T20" s="24">
        <f>Drivers!T17*Assumptions!$C$64*Drivers!T22</f>
        <v>7664.94140625</v>
      </c>
      <c r="U20" s="24">
        <f>Drivers!U17*Assumptions!$C$64*Drivers!U22</f>
        <v>8048.1884765625</v>
      </c>
      <c r="V20" s="24">
        <f>Drivers!V17*Assumptions!$C$64*Drivers!V22</f>
        <v>8431.435546875</v>
      </c>
      <c r="W20" s="24">
        <f>Drivers!W17*Assumptions!$C$64*Drivers!W22</f>
        <v>8814.6826171875</v>
      </c>
      <c r="X20" s="24">
        <f>Drivers!X17*Assumptions!$C$64*Drivers!X22</f>
        <v>9197.9296875</v>
      </c>
      <c r="Y20" s="24">
        <f>Drivers!Y17*Assumptions!$C$64*Drivers!Y22</f>
        <v>9581.1767578125</v>
      </c>
      <c r="Z20" s="24">
        <f>Drivers!Z17*Assumptions!$C$64*Drivers!Z22</f>
        <v>9964.423828125</v>
      </c>
      <c r="AA20" s="24">
        <f>Drivers!AA17*Assumptions!$C$64*Drivers!AA22</f>
        <v>10752.71044921875</v>
      </c>
      <c r="AB20" s="24">
        <f>Drivers!AB17*Assumptions!$C$64*Drivers!AB22</f>
        <v>11277.23291015625</v>
      </c>
      <c r="AC20" s="24">
        <f>Drivers!AC17*Assumptions!$C$64*Drivers!AC22</f>
        <v>11801.75537109375</v>
      </c>
      <c r="AD20" s="24">
        <f>Drivers!AD17*Assumptions!$C$64*Drivers!AD22</f>
        <v>12195.147216796875</v>
      </c>
      <c r="AE20" s="24">
        <f>Drivers!AE17*Assumptions!$C$64*Drivers!AE22</f>
        <v>12640.99130859375</v>
      </c>
      <c r="AF20" s="24">
        <f>Drivers!AF17*Assumptions!$C$64*Drivers!AF22</f>
        <v>13113.0615234375</v>
      </c>
    </row>
    <row r="21" spans="2:32" ht="15" customHeight="1">
      <c r="B21" s="41" t="s">
        <v>365</v>
      </c>
      <c r="C21" s="42">
        <f>C17+C18+C19+C20</f>
        <v>316.05386250000004</v>
      </c>
      <c r="D21" s="42">
        <f>D17+D18+D19+D20</f>
        <v>341.55869062500005</v>
      </c>
      <c r="E21" s="42">
        <f>E17+E18+E19+E20</f>
        <v>377.26545000000004</v>
      </c>
      <c r="F21" s="42">
        <f>F17+F18+F19+F20</f>
        <v>428.27510625000002</v>
      </c>
      <c r="G21" s="42">
        <f>G17+G18+G19+G20</f>
        <v>486.93621093750005</v>
      </c>
      <c r="H21" s="42">
        <f>H17+H18+H19+H20</f>
        <v>550.69828125000004</v>
      </c>
      <c r="I21" s="42">
        <f>I17+I18+I19+I20</f>
        <v>678.22242187500001</v>
      </c>
      <c r="J21" s="42">
        <f>J17+J18+J19+J20</f>
        <v>882.26104687500003</v>
      </c>
      <c r="K21" s="42">
        <f>K17+K18+K19+K20</f>
        <v>1162.81415625</v>
      </c>
      <c r="L21" s="42">
        <f>L17+L18+L19+L20</f>
        <v>1570.89140625</v>
      </c>
      <c r="M21" s="42">
        <f>M17+M18+M19+M20</f>
        <v>2131.997625</v>
      </c>
      <c r="N21" s="42">
        <f>N17+N18+N19+N20</f>
        <v>2846.1328125</v>
      </c>
      <c r="O21" s="42">
        <f>O17+O18+O19+O20</f>
        <v>3515.9909625</v>
      </c>
      <c r="P21" s="42">
        <f>P17+P18+P19+P20</f>
        <v>4166.3640796874997</v>
      </c>
      <c r="Q21" s="42">
        <f>Q17+Q18+Q19+Q20</f>
        <v>4868.76704625</v>
      </c>
      <c r="R21" s="42">
        <f>R17+R18+R19+R20</f>
        <v>5727.2595609375003</v>
      </c>
      <c r="S21" s="42">
        <f>S17+S18+S19+S20</f>
        <v>6897.9311718749996</v>
      </c>
      <c r="T21" s="42">
        <f>T17+T18+T19+T20</f>
        <v>8198.6774062500008</v>
      </c>
      <c r="U21" s="42">
        <f>U17+U18+U19+U20</f>
        <v>8588.9012765624993</v>
      </c>
      <c r="V21" s="42">
        <f>V17+V18+V19+V20</f>
        <v>8979.1251468749997</v>
      </c>
      <c r="W21" s="42">
        <f>W17+W18+W19+W20</f>
        <v>9369.3490171875001</v>
      </c>
      <c r="X21" s="42">
        <f>X17+X18+X19+X20</f>
        <v>9759.5728875000004</v>
      </c>
      <c r="Y21" s="42">
        <f>Y17+Y18+Y19+Y20</f>
        <v>10149.796757812501</v>
      </c>
      <c r="Z21" s="42">
        <f>Z17+Z18+Z19+Z20</f>
        <v>10540.020628124999</v>
      </c>
      <c r="AA21" s="42">
        <f>AA17+AA18+AA19+AA20</f>
        <v>11441.20756921875</v>
      </c>
      <c r="AB21" s="42">
        <f>AB17+AB18+AB19+AB20</f>
        <v>11975.278670156251</v>
      </c>
      <c r="AC21" s="42">
        <f>AC17+AC18+AC19+AC20</f>
        <v>12509.34977109375</v>
      </c>
      <c r="AD21" s="42">
        <f>AD17+AD18+AD19+AD20</f>
        <v>12909.903096796876</v>
      </c>
      <c r="AE21" s="42">
        <f>AE17+AE18+AE19+AE20</f>
        <v>13363.86353259375</v>
      </c>
      <c r="AF21" s="42">
        <f>AF17+AF18+AF19+AF20</f>
        <v>13844.5275234375</v>
      </c>
    </row>
    <row r="22" spans="2:32" ht="15" customHeight="1">
      <c r="B22" s="15" t="s">
        <v>366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</row>
    <row r="23" spans="2:32" ht="15" customHeight="1">
      <c r="B23" s="11" t="s">
        <v>367</v>
      </c>
      <c r="C23" s="24">
        <f>(MAX(Assumptions!$C$69,Drivers!C8/Assumptions!$C$68)*Drivers!C22+Assumptions!$C$70*(Assumptions!$C$9-1))*Assumptions!$C$71*730</f>
        <v>1051.2</v>
      </c>
      <c r="D23" s="24">
        <f>(MAX(Assumptions!$C$69,Drivers!D8/Assumptions!$C$68)*Drivers!D22+Assumptions!$C$70*(Assumptions!$C$9-1))*Assumptions!$C$71*730</f>
        <v>1051.2</v>
      </c>
      <c r="E23" s="24">
        <f>(MAX(Assumptions!$C$69,Drivers!E8/Assumptions!$C$68)*Drivers!E22+Assumptions!$C$70*(Assumptions!$C$9-1))*Assumptions!$C$71*730</f>
        <v>1051.2</v>
      </c>
      <c r="F23" s="24">
        <f>(MAX(Assumptions!$C$69,Drivers!F8/Assumptions!$C$68)*Drivers!F22+Assumptions!$C$70*(Assumptions!$C$9-1))*Assumptions!$C$71*730</f>
        <v>1051.2</v>
      </c>
      <c r="G23" s="24">
        <f>(MAX(Assumptions!$C$69,Drivers!G8/Assumptions!$C$68)*Drivers!G22+Assumptions!$C$70*(Assumptions!$C$9-1))*Assumptions!$C$71*730</f>
        <v>1051.2</v>
      </c>
      <c r="H23" s="24">
        <f>(MAX(Assumptions!$C$69,Drivers!H8/Assumptions!$C$68)*Drivers!H22+Assumptions!$C$70*(Assumptions!$C$9-1))*Assumptions!$C$71*730</f>
        <v>1051.2</v>
      </c>
      <c r="I23" s="24">
        <f>(MAX(Assumptions!$C$69,Drivers!I8/Assumptions!$C$68)*Drivers!I22+Assumptions!$C$70*(Assumptions!$C$9-1))*Assumptions!$C$71*730</f>
        <v>1051.2</v>
      </c>
      <c r="J23" s="24">
        <f>(MAX(Assumptions!$C$69,Drivers!J8/Assumptions!$C$68)*Drivers!J22+Assumptions!$C$70*(Assumptions!$C$9-1))*Assumptions!$C$71*730</f>
        <v>1051.2</v>
      </c>
      <c r="K23" s="24">
        <f>(MAX(Assumptions!$C$69,Drivers!K8/Assumptions!$C$68)*Drivers!K22+Assumptions!$C$70*(Assumptions!$C$9-1))*Assumptions!$C$71*730</f>
        <v>1051.2</v>
      </c>
      <c r="L23" s="24">
        <f>(MAX(Assumptions!$C$69,Drivers!L8/Assumptions!$C$68)*Drivers!L22+Assumptions!$C$70*(Assumptions!$C$9-1))*Assumptions!$C$71*730</f>
        <v>1051.2</v>
      </c>
      <c r="M23" s="24">
        <f>(MAX(Assumptions!$C$69,Drivers!M8/Assumptions!$C$68)*Drivers!M22+Assumptions!$C$70*(Assumptions!$C$9-1))*Assumptions!$C$71*730</f>
        <v>1051.2</v>
      </c>
      <c r="N23" s="24">
        <f>(MAX(Assumptions!$C$69,Drivers!N8/Assumptions!$C$68)*Drivers!N22+Assumptions!$C$70*(Assumptions!$C$9-1))*Assumptions!$C$71*730</f>
        <v>1051.2</v>
      </c>
      <c r="O23" s="24">
        <f>(MAX(Assumptions!$C$69,Drivers!O8/Assumptions!$C$68)*Drivers!O22+Assumptions!$C$70*(Assumptions!$C$9-1))*Assumptions!$C$71*730</f>
        <v>1247.424</v>
      </c>
      <c r="P23" s="24">
        <f>(MAX(Assumptions!$C$69,Drivers!P8/Assumptions!$C$68)*Drivers!P22+Assumptions!$C$70*(Assumptions!$C$9-1))*Assumptions!$C$71*730</f>
        <v>1470.8039999999999</v>
      </c>
      <c r="Q23" s="24">
        <f>(MAX(Assumptions!$C$69,Drivers!Q8/Assumptions!$C$68)*Drivers!Q22+Assumptions!$C$70*(Assumptions!$C$9-1))*Assumptions!$C$71*730</f>
        <v>1712.0543999999998</v>
      </c>
      <c r="R23" s="24">
        <f>(MAX(Assumptions!$C$69,Drivers!R8/Assumptions!$C$68)*Drivers!R22+Assumptions!$C$70*(Assumptions!$C$9-1))*Assumptions!$C$71*730</f>
        <v>2006.9160000000002</v>
      </c>
      <c r="S23" s="24">
        <f>(MAX(Assumptions!$C$69,Drivers!S8/Assumptions!$C$68)*Drivers!S22+Assumptions!$C$70*(Assumptions!$C$9-1))*Assumptions!$C$71*730</f>
        <v>2409</v>
      </c>
      <c r="T23" s="24">
        <f>(MAX(Assumptions!$C$69,Drivers!T8/Assumptions!$C$68)*Drivers!T22+Assumptions!$C$70*(Assumptions!$C$9-1))*Assumptions!$C$71*730</f>
        <v>2855.7599999999998</v>
      </c>
      <c r="U23" s="24">
        <f>(MAX(Assumptions!$C$69,Drivers!U8/Assumptions!$C$68)*Drivers!U22+Assumptions!$C$70*(Assumptions!$C$9-1))*Assumptions!$C$71*730</f>
        <v>2989.788</v>
      </c>
      <c r="V23" s="24">
        <f>(MAX(Assumptions!$C$69,Drivers!V8/Assumptions!$C$68)*Drivers!V22+Assumptions!$C$70*(Assumptions!$C$9-1))*Assumptions!$C$71*730</f>
        <v>3123.8160000000003</v>
      </c>
      <c r="W23" s="24">
        <f>(MAX(Assumptions!$C$69,Drivers!W8/Assumptions!$C$68)*Drivers!W22+Assumptions!$C$70*(Assumptions!$C$9-1))*Assumptions!$C$71*730</f>
        <v>3257.8439999999996</v>
      </c>
      <c r="X23" s="24">
        <f>(MAX(Assumptions!$C$69,Drivers!X8/Assumptions!$C$68)*Drivers!X22+Assumptions!$C$70*(Assumptions!$C$9-1))*Assumptions!$C$71*730</f>
        <v>3391.8719999999998</v>
      </c>
      <c r="Y23" s="24">
        <f>(MAX(Assumptions!$C$69,Drivers!Y8/Assumptions!$C$68)*Drivers!Y22+Assumptions!$C$70*(Assumptions!$C$9-1))*Assumptions!$C$71*730</f>
        <v>3525.9</v>
      </c>
      <c r="Z23" s="24">
        <f>(MAX(Assumptions!$C$69,Drivers!Z8/Assumptions!$C$68)*Drivers!Z22+Assumptions!$C$70*(Assumptions!$C$9-1))*Assumptions!$C$71*730</f>
        <v>3659.9280000000003</v>
      </c>
      <c r="AA23" s="24">
        <f>(MAX(Assumptions!$C$69,Drivers!AA8/Assumptions!$C$68)*Drivers!AA22+Assumptions!$C$70*(Assumptions!$C$9-1))*Assumptions!$C$71*730</f>
        <v>3935.6052</v>
      </c>
      <c r="AB23" s="24">
        <f>(MAX(Assumptions!$C$69,Drivers!AB8/Assumptions!$C$68)*Drivers!AB22+Assumptions!$C$70*(Assumptions!$C$9-1))*Assumptions!$C$71*730</f>
        <v>4119.0395999999992</v>
      </c>
      <c r="AC23" s="24">
        <f>(MAX(Assumptions!$C$69,Drivers!AC8/Assumptions!$C$68)*Drivers!AC22+Assumptions!$C$70*(Assumptions!$C$9-1))*Assumptions!$C$71*730</f>
        <v>4302.4739999999993</v>
      </c>
      <c r="AD23" s="24">
        <f>(MAX(Assumptions!$C$69,Drivers!AD8/Assumptions!$C$68)*Drivers!AD22+Assumptions!$C$70*(Assumptions!$C$9-1))*Assumptions!$C$71*730</f>
        <v>4440.0497999999998</v>
      </c>
      <c r="AE23" s="24">
        <f>(MAX(Assumptions!$C$69,Drivers!AE8/Assumptions!$C$68)*Drivers!AE22+Assumptions!$C$70*(Assumptions!$C$9-1))*Assumptions!$C$71*730</f>
        <v>4595.9690399999999</v>
      </c>
      <c r="AF23" s="24">
        <f>(MAX(Assumptions!$C$69,Drivers!AF8/Assumptions!$C$68)*Drivers!AF22+Assumptions!$C$70*(Assumptions!$C$9-1))*Assumptions!$C$71*730</f>
        <v>4761.0599999999995</v>
      </c>
    </row>
    <row r="24" spans="2:32" ht="15" customHeight="1">
      <c r="B24" s="11" t="s">
        <v>368</v>
      </c>
      <c r="C24" s="24">
        <f>Drivers!C7/1000*Assumptions!$C$73*Assumptions!$C$72*Drivers!C22</f>
        <v>0.4</v>
      </c>
      <c r="D24" s="24">
        <f>Drivers!D7/1000*Assumptions!$C$73*Assumptions!$C$72*Drivers!D22</f>
        <v>0.9</v>
      </c>
      <c r="E24" s="24">
        <f>Drivers!E7/1000*Assumptions!$C$73*Assumptions!$C$72*Drivers!E22</f>
        <v>1.6</v>
      </c>
      <c r="F24" s="24">
        <f>Drivers!F7/1000*Assumptions!$C$73*Assumptions!$C$72*Drivers!F22</f>
        <v>2.6</v>
      </c>
      <c r="G24" s="24">
        <f>Drivers!G7/1000*Assumptions!$C$73*Assumptions!$C$72*Drivers!G22</f>
        <v>3.75</v>
      </c>
      <c r="H24" s="24">
        <f>Drivers!H7/1000*Assumptions!$C$73*Assumptions!$C$72*Drivers!H22</f>
        <v>5</v>
      </c>
      <c r="I24" s="24">
        <f>Drivers!I7/1000*Assumptions!$C$73*Assumptions!$C$72*Drivers!I22</f>
        <v>7.5</v>
      </c>
      <c r="J24" s="24">
        <f>Drivers!J7/1000*Assumptions!$C$73*Assumptions!$C$72*Drivers!J22</f>
        <v>11.5</v>
      </c>
      <c r="K24" s="24">
        <f>Drivers!K7/1000*Assumptions!$C$73*Assumptions!$C$72*Drivers!K22</f>
        <v>17</v>
      </c>
      <c r="L24" s="24">
        <f>Drivers!L7/1000*Assumptions!$C$73*Assumptions!$C$72*Drivers!L22</f>
        <v>25</v>
      </c>
      <c r="M24" s="24">
        <f>Drivers!M7/1000*Assumptions!$C$73*Assumptions!$C$72*Drivers!M22</f>
        <v>36</v>
      </c>
      <c r="N24" s="24">
        <f>Drivers!N7/1000*Assumptions!$C$73*Assumptions!$C$72*Drivers!N22</f>
        <v>50</v>
      </c>
      <c r="O24" s="24">
        <f>Drivers!O7/1000*Assumptions!$C$73*Assumptions!$C$72*Drivers!O22</f>
        <v>61.2</v>
      </c>
      <c r="P24" s="24">
        <f>Drivers!P7/1000*Assumptions!$C$73*Assumptions!$C$72*Drivers!P22</f>
        <v>73.95</v>
      </c>
      <c r="Q24" s="24">
        <f>Drivers!Q7/1000*Assumptions!$C$73*Assumptions!$C$72*Drivers!Q22</f>
        <v>87.72</v>
      </c>
      <c r="R24" s="24">
        <f>Drivers!R7/1000*Assumptions!$C$73*Assumptions!$C$72*Drivers!R22</f>
        <v>104.55</v>
      </c>
      <c r="S24" s="24">
        <f>Drivers!S7/1000*Assumptions!$C$73*Assumptions!$C$72*Drivers!S22</f>
        <v>127.5</v>
      </c>
      <c r="T24" s="24">
        <f>Drivers!T7/1000*Assumptions!$C$73*Assumptions!$C$72*Drivers!T22</f>
        <v>153</v>
      </c>
      <c r="U24" s="24">
        <f>Drivers!U7/1000*Assumptions!$C$73*Assumptions!$C$72*Drivers!U22</f>
        <v>160.65</v>
      </c>
      <c r="V24" s="24">
        <f>Drivers!V7/1000*Assumptions!$C$73*Assumptions!$C$72*Drivers!V22</f>
        <v>168.3</v>
      </c>
      <c r="W24" s="24">
        <f>Drivers!W7/1000*Assumptions!$C$73*Assumptions!$C$72*Drivers!W22</f>
        <v>175.95000000000002</v>
      </c>
      <c r="X24" s="24">
        <f>Drivers!X7/1000*Assumptions!$C$73*Assumptions!$C$72*Drivers!X22</f>
        <v>183.6</v>
      </c>
      <c r="Y24" s="24">
        <f>Drivers!Y7/1000*Assumptions!$C$73*Assumptions!$C$72*Drivers!Y22</f>
        <v>191.25</v>
      </c>
      <c r="Z24" s="24">
        <f>Drivers!Z7/1000*Assumptions!$C$73*Assumptions!$C$72*Drivers!Z22</f>
        <v>198.9</v>
      </c>
      <c r="AA24" s="24">
        <f>Drivers!AA7/1000*Assumptions!$C$73*Assumptions!$C$72*Drivers!AA22</f>
        <v>214.63499999999999</v>
      </c>
      <c r="AB24" s="24">
        <f>Drivers!AB7/1000*Assumptions!$C$73*Assumptions!$C$72*Drivers!AB22</f>
        <v>225.10499999999999</v>
      </c>
      <c r="AC24" s="24">
        <f>Drivers!AC7/1000*Assumptions!$C$73*Assumptions!$C$72*Drivers!AC22</f>
        <v>235.57499999999999</v>
      </c>
      <c r="AD24" s="24">
        <f>Drivers!AD7/1000*Assumptions!$C$73*Assumptions!$C$72*Drivers!AD22</f>
        <v>243.42749999999998</v>
      </c>
      <c r="AE24" s="24">
        <f>Drivers!AE7/1000*Assumptions!$C$73*Assumptions!$C$72*Drivers!AE22</f>
        <v>252.32699999999997</v>
      </c>
      <c r="AF24" s="24">
        <f>Drivers!AF7/1000*Assumptions!$C$73*Assumptions!$C$72*Drivers!AF22</f>
        <v>261.75</v>
      </c>
    </row>
    <row r="25" spans="2:32" ht="15" customHeight="1">
      <c r="B25" s="11" t="s">
        <v>369</v>
      </c>
      <c r="C25" s="24">
        <f>Assumptions!$C$81*Drivers!C23</f>
        <v>1300</v>
      </c>
      <c r="D25" s="24">
        <f>Assumptions!$C$81*Drivers!D23</f>
        <v>1300</v>
      </c>
      <c r="E25" s="24">
        <f>Assumptions!$C$81*Drivers!E23</f>
        <v>1300</v>
      </c>
      <c r="F25" s="24">
        <f>Assumptions!$C$81*Drivers!F23</f>
        <v>1300</v>
      </c>
      <c r="G25" s="24">
        <f>Assumptions!$C$81*Drivers!G23</f>
        <v>1300</v>
      </c>
      <c r="H25" s="24">
        <f>Assumptions!$C$81*Drivers!H23</f>
        <v>1300</v>
      </c>
      <c r="I25" s="24">
        <f>Assumptions!$C$81*Drivers!I23</f>
        <v>1300</v>
      </c>
      <c r="J25" s="24">
        <f>Assumptions!$C$81*Drivers!J23</f>
        <v>1300</v>
      </c>
      <c r="K25" s="24">
        <f>Assumptions!$C$81*Drivers!K23</f>
        <v>1300</v>
      </c>
      <c r="L25" s="24">
        <f>Assumptions!$C$81*Drivers!L23</f>
        <v>1300</v>
      </c>
      <c r="M25" s="24">
        <f>Assumptions!$C$81*Drivers!M23</f>
        <v>1300</v>
      </c>
      <c r="N25" s="24">
        <f>Assumptions!$C$81*Drivers!N23</f>
        <v>1300</v>
      </c>
      <c r="O25" s="24">
        <f>Assumptions!$C$81*Drivers!O23</f>
        <v>1300</v>
      </c>
      <c r="P25" s="24">
        <f>Assumptions!$C$81*Drivers!P23</f>
        <v>1300</v>
      </c>
      <c r="Q25" s="24">
        <f>Assumptions!$C$81*Drivers!Q23</f>
        <v>1300</v>
      </c>
      <c r="R25" s="24">
        <f>Assumptions!$C$81*Drivers!R23</f>
        <v>1300</v>
      </c>
      <c r="S25" s="24">
        <f>Assumptions!$C$81*Drivers!S23</f>
        <v>1300</v>
      </c>
      <c r="T25" s="24">
        <f>Assumptions!$C$81*Drivers!T23</f>
        <v>1300</v>
      </c>
      <c r="U25" s="24">
        <f>Assumptions!$C$81*Drivers!U23</f>
        <v>1300</v>
      </c>
      <c r="V25" s="24">
        <f>Assumptions!$C$81*Drivers!V23</f>
        <v>1300</v>
      </c>
      <c r="W25" s="24">
        <f>Assumptions!$C$81*Drivers!W23</f>
        <v>1300</v>
      </c>
      <c r="X25" s="24">
        <f>Assumptions!$C$81*Drivers!X23</f>
        <v>1300</v>
      </c>
      <c r="Y25" s="24">
        <f>Assumptions!$C$81*Drivers!Y23</f>
        <v>1300</v>
      </c>
      <c r="Z25" s="24">
        <f>Assumptions!$C$81*Drivers!Z23</f>
        <v>1300</v>
      </c>
      <c r="AA25" s="24">
        <f>Assumptions!$C$81*Drivers!AA23</f>
        <v>1300</v>
      </c>
      <c r="AB25" s="24">
        <f>Assumptions!$C$81*Drivers!AB23</f>
        <v>1300</v>
      </c>
      <c r="AC25" s="24">
        <f>Assumptions!$C$81*Drivers!AC23</f>
        <v>1300</v>
      </c>
      <c r="AD25" s="24">
        <f>Assumptions!$C$81*Drivers!AD23</f>
        <v>1300</v>
      </c>
      <c r="AE25" s="24">
        <f>Assumptions!$C$81*Drivers!AE23</f>
        <v>1300</v>
      </c>
      <c r="AF25" s="24">
        <f>Assumptions!$C$81*Drivers!AF23</f>
        <v>1300</v>
      </c>
    </row>
    <row r="26" spans="2:32" ht="15" customHeight="1">
      <c r="B26" s="11" t="s">
        <v>370</v>
      </c>
      <c r="C26" s="24">
        <f>Assumptions!$C$82*Drivers!C23</f>
        <v>1300</v>
      </c>
      <c r="D26" s="24">
        <f>Assumptions!$C$82*Drivers!D23</f>
        <v>1300</v>
      </c>
      <c r="E26" s="24">
        <f>Assumptions!$C$82*Drivers!E23</f>
        <v>1300</v>
      </c>
      <c r="F26" s="24">
        <f>Assumptions!$C$82*Drivers!F23</f>
        <v>1300</v>
      </c>
      <c r="G26" s="24">
        <f>Assumptions!$C$82*Drivers!G23</f>
        <v>1300</v>
      </c>
      <c r="H26" s="24">
        <f>Assumptions!$C$82*Drivers!H23</f>
        <v>1300</v>
      </c>
      <c r="I26" s="24">
        <f>Assumptions!$C$82*Drivers!I23</f>
        <v>1300</v>
      </c>
      <c r="J26" s="24">
        <f>Assumptions!$C$82*Drivers!J23</f>
        <v>1300</v>
      </c>
      <c r="K26" s="24">
        <f>Assumptions!$C$82*Drivers!K23</f>
        <v>1300</v>
      </c>
      <c r="L26" s="24">
        <f>Assumptions!$C$82*Drivers!L23</f>
        <v>1300</v>
      </c>
      <c r="M26" s="24">
        <f>Assumptions!$C$82*Drivers!M23</f>
        <v>1300</v>
      </c>
      <c r="N26" s="24">
        <f>Assumptions!$C$82*Drivers!N23</f>
        <v>1300</v>
      </c>
      <c r="O26" s="24">
        <f>Assumptions!$C$82*Drivers!O23</f>
        <v>1300</v>
      </c>
      <c r="P26" s="24">
        <f>Assumptions!$C$82*Drivers!P23</f>
        <v>1300</v>
      </c>
      <c r="Q26" s="24">
        <f>Assumptions!$C$82*Drivers!Q23</f>
        <v>1300</v>
      </c>
      <c r="R26" s="24">
        <f>Assumptions!$C$82*Drivers!R23</f>
        <v>1300</v>
      </c>
      <c r="S26" s="24">
        <f>Assumptions!$C$82*Drivers!S23</f>
        <v>1300</v>
      </c>
      <c r="T26" s="24">
        <f>Assumptions!$C$82*Drivers!T23</f>
        <v>1300</v>
      </c>
      <c r="U26" s="24">
        <f>Assumptions!$C$82*Drivers!U23</f>
        <v>1300</v>
      </c>
      <c r="V26" s="24">
        <f>Assumptions!$C$82*Drivers!V23</f>
        <v>1300</v>
      </c>
      <c r="W26" s="24">
        <f>Assumptions!$C$82*Drivers!W23</f>
        <v>1300</v>
      </c>
      <c r="X26" s="24">
        <f>Assumptions!$C$82*Drivers!X23</f>
        <v>1300</v>
      </c>
      <c r="Y26" s="24">
        <f>Assumptions!$C$82*Drivers!Y23</f>
        <v>1300</v>
      </c>
      <c r="Z26" s="24">
        <f>Assumptions!$C$82*Drivers!Z23</f>
        <v>1300</v>
      </c>
      <c r="AA26" s="24">
        <f>Assumptions!$C$82*Drivers!AA23</f>
        <v>1300</v>
      </c>
      <c r="AB26" s="24">
        <f>Assumptions!$C$82*Drivers!AB23</f>
        <v>1300</v>
      </c>
      <c r="AC26" s="24">
        <f>Assumptions!$C$82*Drivers!AC23</f>
        <v>1300</v>
      </c>
      <c r="AD26" s="24">
        <f>Assumptions!$C$82*Drivers!AD23</f>
        <v>1300</v>
      </c>
      <c r="AE26" s="24">
        <f>Assumptions!$C$82*Drivers!AE23</f>
        <v>1300</v>
      </c>
      <c r="AF26" s="24">
        <f>Assumptions!$C$82*Drivers!AF23</f>
        <v>1300</v>
      </c>
    </row>
    <row r="27" spans="2:32" ht="15" customHeight="1">
      <c r="B27" s="11" t="s">
        <v>371</v>
      </c>
      <c r="C27" s="24">
        <f>Drivers!C11*Assumptions!$C$75/1000000*Assumptions!$C$77*Drivers!C22</f>
        <v>0.21279999999999999</v>
      </c>
      <c r="D27" s="24">
        <f>Drivers!D11*Assumptions!$C$75/1000000*Assumptions!$C$77*Drivers!D22</f>
        <v>0.4788</v>
      </c>
      <c r="E27" s="24">
        <f>Drivers!E11*Assumptions!$C$75/1000000*Assumptions!$C$77*Drivers!E22</f>
        <v>0.85119999999999996</v>
      </c>
      <c r="F27" s="24">
        <f>Drivers!F11*Assumptions!$C$75/1000000*Assumptions!$C$77*Drivers!F22</f>
        <v>1.3832</v>
      </c>
      <c r="G27" s="24">
        <f>Drivers!G11*Assumptions!$C$75/1000000*Assumptions!$C$77*Drivers!G22</f>
        <v>1.9950000000000001</v>
      </c>
      <c r="H27" s="24">
        <f>Drivers!H11*Assumptions!$C$75/1000000*Assumptions!$C$77*Drivers!H22</f>
        <v>2.66</v>
      </c>
      <c r="I27" s="24">
        <f>Drivers!I11*Assumptions!$C$75/1000000*Assumptions!$C$77*Drivers!I22</f>
        <v>3.99</v>
      </c>
      <c r="J27" s="24">
        <f>Drivers!J11*Assumptions!$C$75/1000000*Assumptions!$C$77*Drivers!J22</f>
        <v>6.1180000000000003</v>
      </c>
      <c r="K27" s="24">
        <f>Drivers!K11*Assumptions!$C$75/1000000*Assumptions!$C$77*Drivers!K22</f>
        <v>9.0439999999999987</v>
      </c>
      <c r="L27" s="24">
        <f>Drivers!L11*Assumptions!$C$75/1000000*Assumptions!$C$77*Drivers!L22</f>
        <v>13.3</v>
      </c>
      <c r="M27" s="24">
        <f>Drivers!M11*Assumptions!$C$75/1000000*Assumptions!$C$77*Drivers!M22</f>
        <v>19.151999999999997</v>
      </c>
      <c r="N27" s="24">
        <f>Drivers!N11*Assumptions!$C$75/1000000*Assumptions!$C$77*Drivers!N22</f>
        <v>26.6</v>
      </c>
      <c r="O27" s="24">
        <f>Drivers!O11*Assumptions!$C$75/1000000*Assumptions!$C$77*Drivers!O22</f>
        <v>32.558399999999999</v>
      </c>
      <c r="P27" s="24">
        <f>Drivers!P11*Assumptions!$C$75/1000000*Assumptions!$C$77*Drivers!P22</f>
        <v>39.341399999999993</v>
      </c>
      <c r="Q27" s="24">
        <f>Drivers!Q11*Assumptions!$C$75/1000000*Assumptions!$C$77*Drivers!Q22</f>
        <v>46.667039999999993</v>
      </c>
      <c r="R27" s="24">
        <f>Drivers!R11*Assumptions!$C$75/1000000*Assumptions!$C$77*Drivers!R22</f>
        <v>55.620600000000003</v>
      </c>
      <c r="S27" s="24">
        <f>Drivers!S11*Assumptions!$C$75/1000000*Assumptions!$C$77*Drivers!S22</f>
        <v>67.83</v>
      </c>
      <c r="T27" s="24">
        <f>Drivers!T11*Assumptions!$C$75/1000000*Assumptions!$C$77*Drivers!T22</f>
        <v>81.396000000000015</v>
      </c>
      <c r="U27" s="24">
        <f>Drivers!U11*Assumptions!$C$75/1000000*Assumptions!$C$77*Drivers!U22</f>
        <v>85.465799999999987</v>
      </c>
      <c r="V27" s="24">
        <f>Drivers!V11*Assumptions!$C$75/1000000*Assumptions!$C$77*Drivers!V22</f>
        <v>89.535600000000002</v>
      </c>
      <c r="W27" s="24">
        <f>Drivers!W11*Assumptions!$C$75/1000000*Assumptions!$C$77*Drivers!W22</f>
        <v>93.605400000000003</v>
      </c>
      <c r="X27" s="24">
        <f>Drivers!X11*Assumptions!$C$75/1000000*Assumptions!$C$77*Drivers!X22</f>
        <v>97.675200000000004</v>
      </c>
      <c r="Y27" s="24">
        <f>Drivers!Y11*Assumptions!$C$75/1000000*Assumptions!$C$77*Drivers!Y22</f>
        <v>101.745</v>
      </c>
      <c r="Z27" s="24">
        <f>Drivers!Z11*Assumptions!$C$75/1000000*Assumptions!$C$77*Drivers!Z22</f>
        <v>105.81480000000001</v>
      </c>
      <c r="AA27" s="24">
        <f>Drivers!AA11*Assumptions!$C$75/1000000*Assumptions!$C$77*Drivers!AA22</f>
        <v>114.18581999999999</v>
      </c>
      <c r="AB27" s="24">
        <f>Drivers!AB11*Assumptions!$C$75/1000000*Assumptions!$C$77*Drivers!AB22</f>
        <v>119.75586</v>
      </c>
      <c r="AC27" s="24">
        <f>Drivers!AC11*Assumptions!$C$75/1000000*Assumptions!$C$77*Drivers!AC22</f>
        <v>125.32589999999999</v>
      </c>
      <c r="AD27" s="24">
        <f>Drivers!AD11*Assumptions!$C$75/1000000*Assumptions!$C$77*Drivers!AD22</f>
        <v>129.50342999999998</v>
      </c>
      <c r="AE27" s="24">
        <f>Drivers!AE11*Assumptions!$C$75/1000000*Assumptions!$C$77*Drivers!AE22</f>
        <v>134.23796399999998</v>
      </c>
      <c r="AF27" s="24">
        <f>Drivers!AF11*Assumptions!$C$75/1000000*Assumptions!$C$77*Drivers!AF22</f>
        <v>139.251</v>
      </c>
    </row>
    <row r="28" spans="2:32" ht="15" customHeight="1">
      <c r="B28" s="11" t="s">
        <v>372</v>
      </c>
      <c r="C28" s="24">
        <f>Drivers!C8*Assumptions!$C$76*30.4/1000000*Assumptions!$C$78*Drivers!C22</f>
        <v>0.60799999999999998</v>
      </c>
      <c r="D28" s="24">
        <f>Drivers!D8*Assumptions!$C$76*30.4/1000000*Assumptions!$C$78*Drivers!D22</f>
        <v>1.3680000000000001</v>
      </c>
      <c r="E28" s="24">
        <f>Drivers!E8*Assumptions!$C$76*30.4/1000000*Assumptions!$C$78*Drivers!E22</f>
        <v>2.4319999999999999</v>
      </c>
      <c r="F28" s="24">
        <f>Drivers!F8*Assumptions!$C$76*30.4/1000000*Assumptions!$C$78*Drivers!F22</f>
        <v>3.952</v>
      </c>
      <c r="G28" s="24">
        <f>Drivers!G8*Assumptions!$C$76*30.4/1000000*Assumptions!$C$78*Drivers!G22</f>
        <v>5.7</v>
      </c>
      <c r="H28" s="24">
        <f>Drivers!H8*Assumptions!$C$76*30.4/1000000*Assumptions!$C$78*Drivers!H22</f>
        <v>7.6</v>
      </c>
      <c r="I28" s="24">
        <f>Drivers!I8*Assumptions!$C$76*30.4/1000000*Assumptions!$C$78*Drivers!I22</f>
        <v>11.4</v>
      </c>
      <c r="J28" s="24">
        <f>Drivers!J8*Assumptions!$C$76*30.4/1000000*Assumptions!$C$78*Drivers!J22</f>
        <v>17.48</v>
      </c>
      <c r="K28" s="24">
        <f>Drivers!K8*Assumptions!$C$76*30.4/1000000*Assumptions!$C$78*Drivers!K22</f>
        <v>25.84</v>
      </c>
      <c r="L28" s="24">
        <f>Drivers!L8*Assumptions!$C$76*30.4/1000000*Assumptions!$C$78*Drivers!L22</f>
        <v>38</v>
      </c>
      <c r="M28" s="24">
        <f>Drivers!M8*Assumptions!$C$76*30.4/1000000*Assumptions!$C$78*Drivers!M22</f>
        <v>54.72</v>
      </c>
      <c r="N28" s="24">
        <f>Drivers!N8*Assumptions!$C$76*30.4/1000000*Assumptions!$C$78*Drivers!N22</f>
        <v>76</v>
      </c>
      <c r="O28" s="24">
        <f>Drivers!O8*Assumptions!$C$76*30.4/1000000*Assumptions!$C$78*Drivers!O22</f>
        <v>93.024000000000001</v>
      </c>
      <c r="P28" s="24">
        <f>Drivers!P8*Assumptions!$C$76*30.4/1000000*Assumptions!$C$78*Drivers!P22</f>
        <v>112.40400000000001</v>
      </c>
      <c r="Q28" s="24">
        <f>Drivers!Q8*Assumptions!$C$76*30.4/1000000*Assumptions!$C$78*Drivers!Q22</f>
        <v>133.33439999999999</v>
      </c>
      <c r="R28" s="24">
        <f>Drivers!R8*Assumptions!$C$76*30.4/1000000*Assumptions!$C$78*Drivers!R22</f>
        <v>158.91600000000003</v>
      </c>
      <c r="S28" s="24">
        <f>Drivers!S8*Assumptions!$C$76*30.4/1000000*Assumptions!$C$78*Drivers!S22</f>
        <v>193.8</v>
      </c>
      <c r="T28" s="24">
        <f>Drivers!T8*Assumptions!$C$76*30.4/1000000*Assumptions!$C$78*Drivers!T22</f>
        <v>232.56</v>
      </c>
      <c r="U28" s="24">
        <f>Drivers!U8*Assumptions!$C$76*30.4/1000000*Assumptions!$C$78*Drivers!U22</f>
        <v>244.18800000000002</v>
      </c>
      <c r="V28" s="24">
        <f>Drivers!V8*Assumptions!$C$76*30.4/1000000*Assumptions!$C$78*Drivers!V22</f>
        <v>255.816</v>
      </c>
      <c r="W28" s="24">
        <f>Drivers!W8*Assumptions!$C$76*30.4/1000000*Assumptions!$C$78*Drivers!W22</f>
        <v>267.44400000000002</v>
      </c>
      <c r="X28" s="24">
        <f>Drivers!X8*Assumptions!$C$76*30.4/1000000*Assumptions!$C$78*Drivers!X22</f>
        <v>279.072</v>
      </c>
      <c r="Y28" s="24">
        <f>Drivers!Y8*Assumptions!$C$76*30.4/1000000*Assumptions!$C$78*Drivers!Y22</f>
        <v>290.7</v>
      </c>
      <c r="Z28" s="24">
        <f>Drivers!Z8*Assumptions!$C$76*30.4/1000000*Assumptions!$C$78*Drivers!Z22</f>
        <v>302.32799999999997</v>
      </c>
      <c r="AA28" s="24">
        <f>Drivers!AA8*Assumptions!$C$76*30.4/1000000*Assumptions!$C$78*Drivers!AA22</f>
        <v>326.24520000000001</v>
      </c>
      <c r="AB28" s="24">
        <f>Drivers!AB8*Assumptions!$C$76*30.4/1000000*Assumptions!$C$78*Drivers!AB22</f>
        <v>342.15960000000001</v>
      </c>
      <c r="AC28" s="24">
        <f>Drivers!AC8*Assumptions!$C$76*30.4/1000000*Assumptions!$C$78*Drivers!AC22</f>
        <v>358.07399999999996</v>
      </c>
      <c r="AD28" s="24">
        <f>Drivers!AD8*Assumptions!$C$76*30.4/1000000*Assumptions!$C$78*Drivers!AD22</f>
        <v>370.00979999999993</v>
      </c>
      <c r="AE28" s="24">
        <f>Drivers!AE8*Assumptions!$C$76*30.4/1000000*Assumptions!$C$78*Drivers!AE22</f>
        <v>383.53703999999999</v>
      </c>
      <c r="AF28" s="24">
        <f>Drivers!AF8*Assumptions!$C$76*30.4/1000000*Assumptions!$C$78*Drivers!AF22</f>
        <v>397.85999999999996</v>
      </c>
    </row>
    <row r="29" spans="2:32" ht="15" customHeight="1">
      <c r="B29" s="11" t="s">
        <v>373</v>
      </c>
      <c r="C29" s="24">
        <f>Drivers!C7/1000*Assumptions!$C$80*Assumptions!$C$79*Drivers!C22</f>
        <v>0.6</v>
      </c>
      <c r="D29" s="24">
        <f>Drivers!D7/1000*Assumptions!$C$80*Assumptions!$C$79*Drivers!D22</f>
        <v>1.3499999999999999</v>
      </c>
      <c r="E29" s="24">
        <f>Drivers!E7/1000*Assumptions!$C$80*Assumptions!$C$79*Drivers!E22</f>
        <v>2.4</v>
      </c>
      <c r="F29" s="24">
        <f>Drivers!F7/1000*Assumptions!$C$80*Assumptions!$C$79*Drivers!F22</f>
        <v>3.9</v>
      </c>
      <c r="G29" s="24">
        <f>Drivers!G7/1000*Assumptions!$C$80*Assumptions!$C$79*Drivers!G22</f>
        <v>5.625</v>
      </c>
      <c r="H29" s="24">
        <f>Drivers!H7/1000*Assumptions!$C$80*Assumptions!$C$79*Drivers!H22</f>
        <v>7.5</v>
      </c>
      <c r="I29" s="24">
        <f>Drivers!I7/1000*Assumptions!$C$80*Assumptions!$C$79*Drivers!I22</f>
        <v>11.25</v>
      </c>
      <c r="J29" s="24">
        <f>Drivers!J7/1000*Assumptions!$C$80*Assumptions!$C$79*Drivers!J22</f>
        <v>17.25</v>
      </c>
      <c r="K29" s="24">
        <f>Drivers!K7/1000*Assumptions!$C$80*Assumptions!$C$79*Drivers!K22</f>
        <v>25.5</v>
      </c>
      <c r="L29" s="24">
        <f>Drivers!L7/1000*Assumptions!$C$80*Assumptions!$C$79*Drivers!L22</f>
        <v>37.5</v>
      </c>
      <c r="M29" s="24">
        <f>Drivers!M7/1000*Assumptions!$C$80*Assumptions!$C$79*Drivers!M22</f>
        <v>54</v>
      </c>
      <c r="N29" s="24">
        <f>Drivers!N7/1000*Assumptions!$C$80*Assumptions!$C$79*Drivers!N22</f>
        <v>75</v>
      </c>
      <c r="O29" s="24">
        <f>Drivers!O7/1000*Assumptions!$C$80*Assumptions!$C$79*Drivers!O22</f>
        <v>91.8</v>
      </c>
      <c r="P29" s="24">
        <f>Drivers!P7/1000*Assumptions!$C$80*Assumptions!$C$79*Drivers!P22</f>
        <v>110.925</v>
      </c>
      <c r="Q29" s="24">
        <f>Drivers!Q7/1000*Assumptions!$C$80*Assumptions!$C$79*Drivers!Q22</f>
        <v>131.58000000000001</v>
      </c>
      <c r="R29" s="24">
        <f>Drivers!R7/1000*Assumptions!$C$80*Assumptions!$C$79*Drivers!R22</f>
        <v>156.82499999999999</v>
      </c>
      <c r="S29" s="24">
        <f>Drivers!S7/1000*Assumptions!$C$80*Assumptions!$C$79*Drivers!S22</f>
        <v>191.25</v>
      </c>
      <c r="T29" s="24">
        <f>Drivers!T7/1000*Assumptions!$C$80*Assumptions!$C$79*Drivers!T22</f>
        <v>229.5</v>
      </c>
      <c r="U29" s="24">
        <f>Drivers!U7/1000*Assumptions!$C$80*Assumptions!$C$79*Drivers!U22</f>
        <v>240.97499999999999</v>
      </c>
      <c r="V29" s="24">
        <f>Drivers!V7/1000*Assumptions!$C$80*Assumptions!$C$79*Drivers!V22</f>
        <v>252.45000000000002</v>
      </c>
      <c r="W29" s="24">
        <f>Drivers!W7/1000*Assumptions!$C$80*Assumptions!$C$79*Drivers!W22</f>
        <v>263.92500000000001</v>
      </c>
      <c r="X29" s="24">
        <f>Drivers!X7/1000*Assumptions!$C$80*Assumptions!$C$79*Drivers!X22</f>
        <v>275.39999999999998</v>
      </c>
      <c r="Y29" s="24">
        <f>Drivers!Y7/1000*Assumptions!$C$80*Assumptions!$C$79*Drivers!Y22</f>
        <v>286.875</v>
      </c>
      <c r="Z29" s="24">
        <f>Drivers!Z7/1000*Assumptions!$C$80*Assumptions!$C$79*Drivers!Z22</f>
        <v>298.35000000000002</v>
      </c>
      <c r="AA29" s="24">
        <f>Drivers!AA7/1000*Assumptions!$C$80*Assumptions!$C$79*Drivers!AA22</f>
        <v>321.95249999999999</v>
      </c>
      <c r="AB29" s="24">
        <f>Drivers!AB7/1000*Assumptions!$C$80*Assumptions!$C$79*Drivers!AB22</f>
        <v>337.65749999999997</v>
      </c>
      <c r="AC29" s="24">
        <f>Drivers!AC7/1000*Assumptions!$C$80*Assumptions!$C$79*Drivers!AC22</f>
        <v>353.36249999999995</v>
      </c>
      <c r="AD29" s="24">
        <f>Drivers!AD7/1000*Assumptions!$C$80*Assumptions!$C$79*Drivers!AD22</f>
        <v>365.14124999999996</v>
      </c>
      <c r="AE29" s="24">
        <f>Drivers!AE7/1000*Assumptions!$C$80*Assumptions!$C$79*Drivers!AE22</f>
        <v>378.4905</v>
      </c>
      <c r="AF29" s="24">
        <f>Drivers!AF7/1000*Assumptions!$C$80*Assumptions!$C$79*Drivers!AF22</f>
        <v>392.625</v>
      </c>
    </row>
    <row r="30" spans="2:32" ht="15" customHeight="1">
      <c r="B30" s="41" t="s">
        <v>374</v>
      </c>
      <c r="C30" s="42">
        <f>C23+C24+C25+C26+C27+C28+C29</f>
        <v>3653.0208000000002</v>
      </c>
      <c r="D30" s="42">
        <f>D23+D24+D25+D26+D27+D28+D29</f>
        <v>3655.2968000000001</v>
      </c>
      <c r="E30" s="42">
        <f>E23+E24+E25+E26+E27+E28+E29</f>
        <v>3658.4832000000001</v>
      </c>
      <c r="F30" s="42">
        <f>F23+F24+F25+F26+F27+F28+F29</f>
        <v>3663.0352000000007</v>
      </c>
      <c r="G30" s="42">
        <f>G23+G24+G25+G26+G27+G28+G29</f>
        <v>3668.2699999999995</v>
      </c>
      <c r="H30" s="42">
        <f>H23+H24+H25+H26+H27+H28+H29</f>
        <v>3673.9599999999996</v>
      </c>
      <c r="I30" s="42">
        <f>I23+I24+I25+I26+I27+I28+I29</f>
        <v>3685.3399999999997</v>
      </c>
      <c r="J30" s="42">
        <f>J23+J24+J25+J26+J27+J28+J29</f>
        <v>3703.5479999999998</v>
      </c>
      <c r="K30" s="42">
        <f>K23+K24+K25+K26+K27+K28+K29</f>
        <v>3728.5839999999998</v>
      </c>
      <c r="L30" s="42">
        <f>L23+L24+L25+L26+L27+L28+L29</f>
        <v>3765</v>
      </c>
      <c r="M30" s="42">
        <f>M23+M24+M25+M26+M27+M28+M29</f>
        <v>3815.0719999999997</v>
      </c>
      <c r="N30" s="42">
        <f>N23+N24+N25+N26+N27+N28+N29</f>
        <v>3878.7999999999997</v>
      </c>
      <c r="O30" s="42">
        <f>O23+O24+O25+O26+O27+O28+O29</f>
        <v>4126.0063999999993</v>
      </c>
      <c r="P30" s="42">
        <f>P23+P24+P25+P26+P27+P28+P29</f>
        <v>4407.4244000000008</v>
      </c>
      <c r="Q30" s="42">
        <f>Q23+Q24+Q25+Q26+Q27+Q28+Q29</f>
        <v>4711.3558400000002</v>
      </c>
      <c r="R30" s="42">
        <f>R23+R24+R25+R26+R27+R28+R29</f>
        <v>5082.8276000000005</v>
      </c>
      <c r="S30" s="42">
        <f>S23+S24+S25+S26+S27+S28+S29</f>
        <v>5589.38</v>
      </c>
      <c r="T30" s="42">
        <f>T23+T24+T25+T26+T27+T28+T29</f>
        <v>6152.2160000000003</v>
      </c>
      <c r="U30" s="42">
        <f>U23+U24+U25+U26+U27+U28+U29</f>
        <v>6321.0668000000005</v>
      </c>
      <c r="V30" s="42">
        <f>V23+V24+V25+V26+V27+V28+V29</f>
        <v>6489.9175999999998</v>
      </c>
      <c r="W30" s="42">
        <f>W23+W24+W25+W26+W27+W28+W29</f>
        <v>6658.7684000000008</v>
      </c>
      <c r="X30" s="42">
        <f>X23+X24+X25+X26+X27+X28+X29</f>
        <v>6827.6191999999992</v>
      </c>
      <c r="Y30" s="42">
        <f>Y23+Y24+Y25+Y26+Y27+Y28+Y29</f>
        <v>6996.4699999999993</v>
      </c>
      <c r="Z30" s="42">
        <f>Z23+Z24+Z25+Z26+Z27+Z28+Z29</f>
        <v>7165.3208000000013</v>
      </c>
      <c r="AA30" s="42">
        <f>AA23+AA24+AA25+AA26+AA27+AA28+AA29</f>
        <v>7512.6237200000005</v>
      </c>
      <c r="AB30" s="42">
        <f>AB23+AB24+AB25+AB26+AB27+AB28+AB29</f>
        <v>7743.7175599999991</v>
      </c>
      <c r="AC30" s="42">
        <f>AC23+AC24+AC25+AC26+AC27+AC28+AC29</f>
        <v>7974.8113999999987</v>
      </c>
      <c r="AD30" s="42">
        <f>AD23+AD24+AD25+AD26+AD27+AD28+AD29</f>
        <v>8148.1317799999988</v>
      </c>
      <c r="AE30" s="42">
        <f>AE23+AE24+AE25+AE26+AE27+AE28+AE29</f>
        <v>8344.5615440000001</v>
      </c>
      <c r="AF30" s="42">
        <f>AF23+AF24+AF25+AF26+AF27+AF28+AF29</f>
        <v>8552.5459999999985</v>
      </c>
    </row>
    <row r="31" spans="2:32" ht="15" customHeight="1">
      <c r="B31" s="15" t="s">
        <v>375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</row>
    <row r="32" spans="2:32" ht="15" customHeight="1">
      <c r="B32" s="11" t="s">
        <v>376</v>
      </c>
      <c r="C32" s="24">
        <f>Drivers!C16*Assumptions!$C$84*Drivers!C22</f>
        <v>0.22059783935546878</v>
      </c>
      <c r="D32" s="24">
        <f>Drivers!D16*Assumptions!$C$84*Drivers!D22</f>
        <v>0.71694297790527362</v>
      </c>
      <c r="E32" s="24">
        <f>Drivers!E16*Assumptions!$C$84*Drivers!E22</f>
        <v>1.5993343353271487</v>
      </c>
      <c r="F32" s="24">
        <f>Drivers!F16*Assumptions!$C$84*Drivers!F22</f>
        <v>3.0332202911376953</v>
      </c>
      <c r="G32" s="24">
        <f>Drivers!G16*Assumptions!$C$84*Drivers!G22</f>
        <v>5.1013250350952148</v>
      </c>
      <c r="H32" s="24">
        <f>Drivers!H16*Assumptions!$C$84*Drivers!H22</f>
        <v>7.8587980270385742</v>
      </c>
      <c r="I32" s="24">
        <f>Drivers!I16*Assumptions!$C$84*Drivers!I22</f>
        <v>11.995007514953613</v>
      </c>
      <c r="J32" s="24">
        <f>Drivers!J16*Assumptions!$C$84*Drivers!J22</f>
        <v>18.33719539642334</v>
      </c>
      <c r="K32" s="24">
        <f>Drivers!K16*Assumptions!$C$84*Drivers!K22</f>
        <v>27.712603569030762</v>
      </c>
      <c r="L32" s="24">
        <f>Drivers!L16*Assumptions!$C$84*Drivers!L22</f>
        <v>41.499968528747559</v>
      </c>
      <c r="M32" s="24">
        <f>Drivers!M16*Assumptions!$C$84*Drivers!M22</f>
        <v>61.353774070739746</v>
      </c>
      <c r="N32" s="24">
        <f>Drivers!N16*Assumptions!$C$84*Drivers!N22</f>
        <v>88.92850399017334</v>
      </c>
      <c r="O32" s="24">
        <f>Drivers!O16*Assumptions!$C$84*Drivers!O22</f>
        <v>124.45854349136353</v>
      </c>
      <c r="P32" s="24">
        <f>Drivers!P16*Assumptions!$C$84*Drivers!P22</f>
        <v>165.24156904220581</v>
      </c>
      <c r="Q32" s="24">
        <f>Drivers!Q16*Assumptions!$C$84*Drivers!Q22</f>
        <v>213.6186752128601</v>
      </c>
      <c r="R32" s="24">
        <f>Drivers!R16*Assumptions!$C$84*Drivers!R22</f>
        <v>271.27743547439576</v>
      </c>
      <c r="S32" s="24">
        <f>Drivers!S16*Assumptions!$C$84*Drivers!S22</f>
        <v>341.59299676895142</v>
      </c>
      <c r="T32" s="24">
        <f>Drivers!T16*Assumptions!$C$84*Drivers!T22</f>
        <v>425.97167032241822</v>
      </c>
      <c r="U32" s="24">
        <f>Drivers!U16*Assumptions!$C$84*Drivers!U22</f>
        <v>514.56927755355832</v>
      </c>
      <c r="V32" s="24">
        <f>Drivers!V16*Assumptions!$C$84*Drivers!V22</f>
        <v>607.38581846237184</v>
      </c>
      <c r="W32" s="24">
        <f>Drivers!W16*Assumptions!$C$84*Drivers!W22</f>
        <v>704.42129304885862</v>
      </c>
      <c r="X32" s="24">
        <f>Drivers!X16*Assumptions!$C$84*Drivers!X22</f>
        <v>805.67570131301886</v>
      </c>
      <c r="Y32" s="24">
        <f>Drivers!Y16*Assumptions!$C$84*Drivers!Y22</f>
        <v>911.14904325485236</v>
      </c>
      <c r="Z32" s="24">
        <f>Drivers!Z16*Assumptions!$C$84*Drivers!Z22</f>
        <v>1020.8413188743591</v>
      </c>
      <c r="AA32" s="24">
        <f>Drivers!AA16*Assumptions!$C$84*Drivers!AA22</f>
        <v>1166.2336322050094</v>
      </c>
      <c r="AB32" s="24">
        <f>Drivers!AB16*Assumptions!$C$84*Drivers!AB22</f>
        <v>1290.3778237752913</v>
      </c>
      <c r="AC32" s="24">
        <f>Drivers!AC16*Assumptions!$C$84*Drivers!AC22</f>
        <v>1420.2961637907026</v>
      </c>
      <c r="AD32" s="24">
        <f>Drivers!AD16*Assumptions!$C$84*Drivers!AD22</f>
        <v>1554.5451151399611</v>
      </c>
      <c r="AE32" s="24">
        <f>Drivers!AE16*Assumptions!$C$84*Drivers!AE22</f>
        <v>1693.7020926675796</v>
      </c>
      <c r="AF32" s="24">
        <f>Drivers!AF16*Assumptions!$C$84*Drivers!AF22</f>
        <v>1838.0558037958144</v>
      </c>
    </row>
    <row r="33" spans="2:32" ht="15" customHeight="1">
      <c r="B33" s="11" t="s">
        <v>377</v>
      </c>
      <c r="C33" s="24">
        <f>(Drivers!C11/1000*Assumptions!$C$85+Drivers!C8*Assumptions!$C$23*30.4/1000*Assumptions!$C$86)*Drivers!C22</f>
        <v>0.82079999999999997</v>
      </c>
      <c r="D33" s="24">
        <f>(Drivers!D11/1000*Assumptions!$C$85+Drivers!D8*Assumptions!$C$23*30.4/1000*Assumptions!$C$86)*Drivers!D22</f>
        <v>1.8468000000000002</v>
      </c>
      <c r="E33" s="24">
        <f>(Drivers!E11/1000*Assumptions!$C$85+Drivers!E8*Assumptions!$C$23*30.4/1000*Assumptions!$C$86)*Drivers!E22</f>
        <v>3.2831999999999999</v>
      </c>
      <c r="F33" s="24">
        <f>(Drivers!F11/1000*Assumptions!$C$85+Drivers!F8*Assumptions!$C$23*30.4/1000*Assumptions!$C$86)*Drivers!F22</f>
        <v>5.3352000000000004</v>
      </c>
      <c r="G33" s="24">
        <f>(Drivers!G11/1000*Assumptions!$C$85+Drivers!G8*Assumptions!$C$23*30.4/1000*Assumptions!$C$86)*Drivers!G22</f>
        <v>7.6950000000000003</v>
      </c>
      <c r="H33" s="24">
        <f>(Drivers!H11/1000*Assumptions!$C$85+Drivers!H8*Assumptions!$C$23*30.4/1000*Assumptions!$C$86)*Drivers!H22</f>
        <v>10.260000000000002</v>
      </c>
      <c r="I33" s="24">
        <f>(Drivers!I11/1000*Assumptions!$C$85+Drivers!I8*Assumptions!$C$23*30.4/1000*Assumptions!$C$86)*Drivers!I22</f>
        <v>15.39</v>
      </c>
      <c r="J33" s="24">
        <f>(Drivers!J11/1000*Assumptions!$C$85+Drivers!J8*Assumptions!$C$23*30.4/1000*Assumptions!$C$86)*Drivers!J22</f>
        <v>23.597999999999999</v>
      </c>
      <c r="K33" s="24">
        <f>(Drivers!K11/1000*Assumptions!$C$85+Drivers!K8*Assumptions!$C$23*30.4/1000*Assumptions!$C$86)*Drivers!K22</f>
        <v>34.884</v>
      </c>
      <c r="L33" s="24">
        <f>(Drivers!L11/1000*Assumptions!$C$85+Drivers!L8*Assumptions!$C$23*30.4/1000*Assumptions!$C$86)*Drivers!L22</f>
        <v>51.3</v>
      </c>
      <c r="M33" s="24">
        <f>(Drivers!M11/1000*Assumptions!$C$85+Drivers!M8*Assumptions!$C$23*30.4/1000*Assumptions!$C$86)*Drivers!M22</f>
        <v>73.872</v>
      </c>
      <c r="N33" s="24">
        <f>(Drivers!N11/1000*Assumptions!$C$85+Drivers!N8*Assumptions!$C$23*30.4/1000*Assumptions!$C$86)*Drivers!N22</f>
        <v>102.6</v>
      </c>
      <c r="O33" s="24">
        <f>(Drivers!O11/1000*Assumptions!$C$85+Drivers!O8*Assumptions!$C$23*30.4/1000*Assumptions!$C$86)*Drivers!O22</f>
        <v>125.58240000000001</v>
      </c>
      <c r="P33" s="24">
        <f>(Drivers!P11/1000*Assumptions!$C$85+Drivers!P8*Assumptions!$C$23*30.4/1000*Assumptions!$C$86)*Drivers!P22</f>
        <v>151.74539999999999</v>
      </c>
      <c r="Q33" s="24">
        <f>(Drivers!Q11/1000*Assumptions!$C$85+Drivers!Q8*Assumptions!$C$23*30.4/1000*Assumptions!$C$86)*Drivers!Q22</f>
        <v>180.00144</v>
      </c>
      <c r="R33" s="24">
        <f>(Drivers!R11/1000*Assumptions!$C$85+Drivers!R8*Assumptions!$C$23*30.4/1000*Assumptions!$C$86)*Drivers!R22</f>
        <v>214.53660000000002</v>
      </c>
      <c r="S33" s="24">
        <f>(Drivers!S11/1000*Assumptions!$C$85+Drivers!S8*Assumptions!$C$23*30.4/1000*Assumptions!$C$86)*Drivers!S22</f>
        <v>261.63</v>
      </c>
      <c r="T33" s="24">
        <f>(Drivers!T11/1000*Assumptions!$C$85+Drivers!T8*Assumptions!$C$23*30.4/1000*Assumptions!$C$86)*Drivers!T22</f>
        <v>313.95600000000002</v>
      </c>
      <c r="U33" s="24">
        <f>(Drivers!U11/1000*Assumptions!$C$85+Drivers!U8*Assumptions!$C$23*30.4/1000*Assumptions!$C$86)*Drivers!U22</f>
        <v>329.65379999999999</v>
      </c>
      <c r="V33" s="24">
        <f>(Drivers!V11/1000*Assumptions!$C$85+Drivers!V8*Assumptions!$C$23*30.4/1000*Assumptions!$C$86)*Drivers!V22</f>
        <v>345.35160000000008</v>
      </c>
      <c r="W33" s="24">
        <f>(Drivers!W11/1000*Assumptions!$C$85+Drivers!W8*Assumptions!$C$23*30.4/1000*Assumptions!$C$86)*Drivers!W22</f>
        <v>361.04939999999999</v>
      </c>
      <c r="X33" s="24">
        <f>(Drivers!X11/1000*Assumptions!$C$85+Drivers!X8*Assumptions!$C$23*30.4/1000*Assumptions!$C$86)*Drivers!X22</f>
        <v>376.74720000000002</v>
      </c>
      <c r="Y33" s="24">
        <f>(Drivers!Y11/1000*Assumptions!$C$85+Drivers!Y8*Assumptions!$C$23*30.4/1000*Assumptions!$C$86)*Drivers!Y22</f>
        <v>392.44499999999999</v>
      </c>
      <c r="Z33" s="24">
        <f>(Drivers!Z11/1000*Assumptions!$C$85+Drivers!Z8*Assumptions!$C$23*30.4/1000*Assumptions!$C$86)*Drivers!Z22</f>
        <v>408.14280000000008</v>
      </c>
      <c r="AA33" s="24">
        <f>(Drivers!AA11/1000*Assumptions!$C$85+Drivers!AA8*Assumptions!$C$23*30.4/1000*Assumptions!$C$86)*Drivers!AA22</f>
        <v>440.43101999999999</v>
      </c>
      <c r="AB33" s="24">
        <f>(Drivers!AB11/1000*Assumptions!$C$85+Drivers!AB8*Assumptions!$C$23*30.4/1000*Assumptions!$C$86)*Drivers!AB22</f>
        <v>461.91546</v>
      </c>
      <c r="AC33" s="24">
        <f>(Drivers!AC11/1000*Assumptions!$C$85+Drivers!AC8*Assumptions!$C$23*30.4/1000*Assumptions!$C$86)*Drivers!AC22</f>
        <v>483.39989999999995</v>
      </c>
      <c r="AD33" s="24">
        <f>(Drivers!AD11/1000*Assumptions!$C$85+Drivers!AD8*Assumptions!$C$23*30.4/1000*Assumptions!$C$86)*Drivers!AD22</f>
        <v>499.51323000000002</v>
      </c>
      <c r="AE33" s="24">
        <f>(Drivers!AE11/1000*Assumptions!$C$85+Drivers!AE8*Assumptions!$C$23*30.4/1000*Assumptions!$C$86)*Drivers!AE22</f>
        <v>517.77500399999997</v>
      </c>
      <c r="AF33" s="24">
        <f>(Drivers!AF11/1000*Assumptions!$C$85+Drivers!AF8*Assumptions!$C$23*30.4/1000*Assumptions!$C$86)*Drivers!AF22</f>
        <v>537.11099999999999</v>
      </c>
    </row>
    <row r="34" spans="2:32" ht="15" customHeight="1">
      <c r="B34" s="41" t="s">
        <v>378</v>
      </c>
      <c r="C34" s="42">
        <f>C32+C33</f>
        <v>1.0413978393554688</v>
      </c>
      <c r="D34" s="42">
        <f>D32+D33</f>
        <v>2.5637429779052736</v>
      </c>
      <c r="E34" s="42">
        <f>E32+E33</f>
        <v>4.8825343353271489</v>
      </c>
      <c r="F34" s="42">
        <f>F32+F33</f>
        <v>8.3684202911376957</v>
      </c>
      <c r="G34" s="42">
        <f>G32+G33</f>
        <v>12.796325035095215</v>
      </c>
      <c r="H34" s="42">
        <f>H32+H33</f>
        <v>18.118798027038576</v>
      </c>
      <c r="I34" s="42">
        <f>I32+I33</f>
        <v>27.385007514953614</v>
      </c>
      <c r="J34" s="42">
        <f>J32+J33</f>
        <v>41.935195396423339</v>
      </c>
      <c r="K34" s="42">
        <f>K32+K33</f>
        <v>62.596603569030762</v>
      </c>
      <c r="L34" s="42">
        <f>L32+L33</f>
        <v>92.799968528747556</v>
      </c>
      <c r="M34" s="42">
        <f>M32+M33</f>
        <v>135.22577407073976</v>
      </c>
      <c r="N34" s="42">
        <f>N32+N33</f>
        <v>191.52850399017333</v>
      </c>
      <c r="O34" s="42">
        <f>O32+O33</f>
        <v>250.04094349136352</v>
      </c>
      <c r="P34" s="42">
        <f>P32+P33</f>
        <v>316.98696904220583</v>
      </c>
      <c r="Q34" s="42">
        <f>Q32+Q33</f>
        <v>393.62011521286013</v>
      </c>
      <c r="R34" s="42">
        <f>R32+R33</f>
        <v>485.81403547439578</v>
      </c>
      <c r="S34" s="42">
        <f>S32+S33</f>
        <v>603.22299676895136</v>
      </c>
      <c r="T34" s="42">
        <f>T32+T33</f>
        <v>739.92767032241818</v>
      </c>
      <c r="U34" s="42">
        <f>U32+U33</f>
        <v>844.22307755355837</v>
      </c>
      <c r="V34" s="42">
        <f>V32+V33</f>
        <v>952.73741846237192</v>
      </c>
      <c r="W34" s="42">
        <f>W32+W33</f>
        <v>1065.4706930488587</v>
      </c>
      <c r="X34" s="42">
        <f>X32+X33</f>
        <v>1182.4229013130189</v>
      </c>
      <c r="Y34" s="42">
        <f>Y32+Y33</f>
        <v>1303.5940432548523</v>
      </c>
      <c r="Z34" s="42">
        <f>Z32+Z33</f>
        <v>1428.9841188743592</v>
      </c>
      <c r="AA34" s="42">
        <f>AA32+AA33</f>
        <v>1606.6646522050094</v>
      </c>
      <c r="AB34" s="42">
        <f>AB32+AB33</f>
        <v>1752.2932837752912</v>
      </c>
      <c r="AC34" s="42">
        <f>AC32+AC33</f>
        <v>1903.6960637907025</v>
      </c>
      <c r="AD34" s="42">
        <f>AD32+AD33</f>
        <v>2054.0583451399611</v>
      </c>
      <c r="AE34" s="42">
        <f>AE32+AE33</f>
        <v>2211.4770966675796</v>
      </c>
      <c r="AF34" s="42">
        <f>AF32+AF33</f>
        <v>2375.1668037958143</v>
      </c>
    </row>
    <row r="35" spans="2:32" ht="15" customHeight="1">
      <c r="B35" s="15" t="s">
        <v>379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</row>
    <row r="36" spans="2:32" ht="15" customHeight="1">
      <c r="B36" s="11" t="s">
        <v>380</v>
      </c>
      <c r="C36" s="24">
        <f>Drivers!C11*(Assumptions!$C$25/1000000*Assumptions!$C$33*(1-Assumptions!$C$39)+Assumptions!$C$26/1000000*Assumptions!$C$34)*(1+Assumptions!$C$41)</f>
        <v>36.175999999999995</v>
      </c>
      <c r="D36" s="24">
        <f>Drivers!D11*(Assumptions!$C$25/1000000*Assumptions!$C$33*(1-Assumptions!$C$39)+Assumptions!$C$26/1000000*Assumptions!$C$34)*(1+Assumptions!$C$41)</f>
        <v>81.396000000000001</v>
      </c>
      <c r="E36" s="24">
        <f>Drivers!E11*(Assumptions!$C$25/1000000*Assumptions!$C$33*(1-Assumptions!$C$39)+Assumptions!$C$26/1000000*Assumptions!$C$34)*(1+Assumptions!$C$41)</f>
        <v>144.70399999999998</v>
      </c>
      <c r="F36" s="24">
        <f>Drivers!F11*(Assumptions!$C$25/1000000*Assumptions!$C$33*(1-Assumptions!$C$39)+Assumptions!$C$26/1000000*Assumptions!$C$34)*(1+Assumptions!$C$41)</f>
        <v>235.14399999999998</v>
      </c>
      <c r="G36" s="24">
        <f>Drivers!G11*(Assumptions!$C$25/1000000*Assumptions!$C$33*(1-Assumptions!$C$39)+Assumptions!$C$26/1000000*Assumptions!$C$34)*(1+Assumptions!$C$41)</f>
        <v>339.15</v>
      </c>
      <c r="H36" s="24">
        <f>Drivers!H11*(Assumptions!$C$25/1000000*Assumptions!$C$33*(1-Assumptions!$C$39)+Assumptions!$C$26/1000000*Assumptions!$C$34)*(1+Assumptions!$C$41)</f>
        <v>452.2</v>
      </c>
      <c r="I36" s="24">
        <f>Drivers!I11*(Assumptions!$C$25/1000000*Assumptions!$C$33*(1-Assumptions!$C$39)+Assumptions!$C$26/1000000*Assumptions!$C$34)*(1+Assumptions!$C$41)</f>
        <v>678.3</v>
      </c>
      <c r="J36" s="24">
        <f>Drivers!J11*(Assumptions!$C$25/1000000*Assumptions!$C$33*(1-Assumptions!$C$39)+Assumptions!$C$26/1000000*Assumptions!$C$34)*(1+Assumptions!$C$41)</f>
        <v>1040.06</v>
      </c>
      <c r="K36" s="24">
        <f>Drivers!K11*(Assumptions!$C$25/1000000*Assumptions!$C$33*(1-Assumptions!$C$39)+Assumptions!$C$26/1000000*Assumptions!$C$34)*(1+Assumptions!$C$41)</f>
        <v>1537.4799999999998</v>
      </c>
      <c r="L36" s="24">
        <f>Drivers!L11*(Assumptions!$C$25/1000000*Assumptions!$C$33*(1-Assumptions!$C$39)+Assumptions!$C$26/1000000*Assumptions!$C$34)*(1+Assumptions!$C$41)</f>
        <v>2261</v>
      </c>
      <c r="M36" s="24">
        <f>Drivers!M11*(Assumptions!$C$25/1000000*Assumptions!$C$33*(1-Assumptions!$C$39)+Assumptions!$C$26/1000000*Assumptions!$C$34)*(1+Assumptions!$C$41)</f>
        <v>3255.8399999999992</v>
      </c>
      <c r="N36" s="24">
        <f>Drivers!N11*(Assumptions!$C$25/1000000*Assumptions!$C$33*(1-Assumptions!$C$39)+Assumptions!$C$26/1000000*Assumptions!$C$34)*(1+Assumptions!$C$41)</f>
        <v>4522</v>
      </c>
      <c r="O36" s="24">
        <f>Drivers!O11*(Assumptions!$C$25/1000000*Assumptions!$C$33*(1-Assumptions!$C$39)+Assumptions!$C$26/1000000*Assumptions!$C$34)*(1+Assumptions!$C$41)</f>
        <v>5426.4</v>
      </c>
      <c r="P36" s="24">
        <f>Drivers!P11*(Assumptions!$C$25/1000000*Assumptions!$C$33*(1-Assumptions!$C$39)+Assumptions!$C$26/1000000*Assumptions!$C$34)*(1+Assumptions!$C$41)</f>
        <v>6556.8999999999987</v>
      </c>
      <c r="Q36" s="24">
        <f>Drivers!Q11*(Assumptions!$C$25/1000000*Assumptions!$C$33*(1-Assumptions!$C$39)+Assumptions!$C$26/1000000*Assumptions!$C$34)*(1+Assumptions!$C$41)</f>
        <v>7777.8399999999992</v>
      </c>
      <c r="R36" s="24">
        <f>Drivers!R11*(Assumptions!$C$25/1000000*Assumptions!$C$33*(1-Assumptions!$C$39)+Assumptions!$C$26/1000000*Assumptions!$C$34)*(1+Assumptions!$C$41)</f>
        <v>9270.1</v>
      </c>
      <c r="S36" s="24">
        <f>Drivers!S11*(Assumptions!$C$25/1000000*Assumptions!$C$33*(1-Assumptions!$C$39)+Assumptions!$C$26/1000000*Assumptions!$C$34)*(1+Assumptions!$C$41)</f>
        <v>11305</v>
      </c>
      <c r="T36" s="24">
        <f>Drivers!T11*(Assumptions!$C$25/1000000*Assumptions!$C$33*(1-Assumptions!$C$39)+Assumptions!$C$26/1000000*Assumptions!$C$34)*(1+Assumptions!$C$41)</f>
        <v>13566</v>
      </c>
      <c r="U36" s="24">
        <f>Drivers!U11*(Assumptions!$C$25/1000000*Assumptions!$C$33*(1-Assumptions!$C$39)+Assumptions!$C$26/1000000*Assumptions!$C$34)*(1+Assumptions!$C$41)</f>
        <v>14244.3</v>
      </c>
      <c r="V36" s="24">
        <f>Drivers!V11*(Assumptions!$C$25/1000000*Assumptions!$C$33*(1-Assumptions!$C$39)+Assumptions!$C$26/1000000*Assumptions!$C$34)*(1+Assumptions!$C$41)</f>
        <v>14922.599999999999</v>
      </c>
      <c r="W36" s="24">
        <f>Drivers!W11*(Assumptions!$C$25/1000000*Assumptions!$C$33*(1-Assumptions!$C$39)+Assumptions!$C$26/1000000*Assumptions!$C$34)*(1+Assumptions!$C$41)</f>
        <v>15600.9</v>
      </c>
      <c r="X36" s="24">
        <f>Drivers!X11*(Assumptions!$C$25/1000000*Assumptions!$C$33*(1-Assumptions!$C$39)+Assumptions!$C$26/1000000*Assumptions!$C$34)*(1+Assumptions!$C$41)</f>
        <v>16279.199999999999</v>
      </c>
      <c r="Y36" s="24">
        <f>Drivers!Y11*(Assumptions!$C$25/1000000*Assumptions!$C$33*(1-Assumptions!$C$39)+Assumptions!$C$26/1000000*Assumptions!$C$34)*(1+Assumptions!$C$41)</f>
        <v>16957.5</v>
      </c>
      <c r="Z36" s="24">
        <f>Drivers!Z11*(Assumptions!$C$25/1000000*Assumptions!$C$33*(1-Assumptions!$C$39)+Assumptions!$C$26/1000000*Assumptions!$C$34)*(1+Assumptions!$C$41)</f>
        <v>17635.8</v>
      </c>
      <c r="AA36" s="24">
        <f>Drivers!AA11*(Assumptions!$C$25/1000000*Assumptions!$C$33*(1-Assumptions!$C$39)+Assumptions!$C$26/1000000*Assumptions!$C$34)*(1+Assumptions!$C$41)</f>
        <v>18540.2</v>
      </c>
      <c r="AB36" s="24">
        <f>Drivers!AB11*(Assumptions!$C$25/1000000*Assumptions!$C$33*(1-Assumptions!$C$39)+Assumptions!$C$26/1000000*Assumptions!$C$34)*(1+Assumptions!$C$41)</f>
        <v>19444.599999999999</v>
      </c>
      <c r="AC36" s="24">
        <f>Drivers!AC11*(Assumptions!$C$25/1000000*Assumptions!$C$33*(1-Assumptions!$C$39)+Assumptions!$C$26/1000000*Assumptions!$C$34)*(1+Assumptions!$C$41)</f>
        <v>20349</v>
      </c>
      <c r="AD36" s="24">
        <f>Drivers!AD11*(Assumptions!$C$25/1000000*Assumptions!$C$33*(1-Assumptions!$C$39)+Assumptions!$C$26/1000000*Assumptions!$C$34)*(1+Assumptions!$C$41)</f>
        <v>21027.3</v>
      </c>
      <c r="AE36" s="24">
        <f>Drivers!AE11*(Assumptions!$C$25/1000000*Assumptions!$C$33*(1-Assumptions!$C$39)+Assumptions!$C$26/1000000*Assumptions!$C$34)*(1+Assumptions!$C$41)</f>
        <v>21796.039999999997</v>
      </c>
      <c r="AF36" s="24">
        <f>Drivers!AF11*(Assumptions!$C$25/1000000*Assumptions!$C$33*(1-Assumptions!$C$39)+Assumptions!$C$26/1000000*Assumptions!$C$34)*(1+Assumptions!$C$41)</f>
        <v>22610</v>
      </c>
    </row>
    <row r="37" spans="2:32" ht="15" customHeight="1">
      <c r="B37" s="11" t="s">
        <v>381</v>
      </c>
      <c r="C37" s="24">
        <f>Drivers!C12*(Assumptions!$C$27/1000000*Assumptions!$C$35+Assumptions!$C$28/1000000*Assumptions!$C$36)*(1-Assumptions!$C$40)*(1+Assumptions!$C$41)</f>
        <v>175.56000000000003</v>
      </c>
      <c r="D37" s="24">
        <f>Drivers!D12*(Assumptions!$C$27/1000000*Assumptions!$C$35+Assumptions!$C$28/1000000*Assumptions!$C$36)*(1-Assumptions!$C$40)*(1+Assumptions!$C$41)</f>
        <v>395.01000000000005</v>
      </c>
      <c r="E37" s="24">
        <f>Drivers!E12*(Assumptions!$C$27/1000000*Assumptions!$C$35+Assumptions!$C$28/1000000*Assumptions!$C$36)*(1-Assumptions!$C$40)*(1+Assumptions!$C$41)</f>
        <v>702.24000000000012</v>
      </c>
      <c r="F37" s="24">
        <f>Drivers!F12*(Assumptions!$C$27/1000000*Assumptions!$C$35+Assumptions!$C$28/1000000*Assumptions!$C$36)*(1-Assumptions!$C$40)*(1+Assumptions!$C$41)</f>
        <v>1141.1399999999999</v>
      </c>
      <c r="G37" s="24">
        <f>Drivers!G12*(Assumptions!$C$27/1000000*Assumptions!$C$35+Assumptions!$C$28/1000000*Assumptions!$C$36)*(1-Assumptions!$C$40)*(1+Assumptions!$C$41)</f>
        <v>1645.8750000000002</v>
      </c>
      <c r="H37" s="24">
        <f>Drivers!H12*(Assumptions!$C$27/1000000*Assumptions!$C$35+Assumptions!$C$28/1000000*Assumptions!$C$36)*(1-Assumptions!$C$40)*(1+Assumptions!$C$41)</f>
        <v>2194.5</v>
      </c>
      <c r="I37" s="24">
        <f>Drivers!I12*(Assumptions!$C$27/1000000*Assumptions!$C$35+Assumptions!$C$28/1000000*Assumptions!$C$36)*(1-Assumptions!$C$40)*(1+Assumptions!$C$41)</f>
        <v>3291.7500000000005</v>
      </c>
      <c r="J37" s="24">
        <f>Drivers!J12*(Assumptions!$C$27/1000000*Assumptions!$C$35+Assumptions!$C$28/1000000*Assumptions!$C$36)*(1-Assumptions!$C$40)*(1+Assumptions!$C$41)</f>
        <v>5047.3499999999995</v>
      </c>
      <c r="K37" s="24">
        <f>Drivers!K12*(Assumptions!$C$27/1000000*Assumptions!$C$35+Assumptions!$C$28/1000000*Assumptions!$C$36)*(1-Assumptions!$C$40)*(1+Assumptions!$C$41)</f>
        <v>7461.2999999999993</v>
      </c>
      <c r="L37" s="24">
        <f>Drivers!L12*(Assumptions!$C$27/1000000*Assumptions!$C$35+Assumptions!$C$28/1000000*Assumptions!$C$36)*(1-Assumptions!$C$40)*(1+Assumptions!$C$41)</f>
        <v>10972.500000000002</v>
      </c>
      <c r="M37" s="24">
        <f>Drivers!M12*(Assumptions!$C$27/1000000*Assumptions!$C$35+Assumptions!$C$28/1000000*Assumptions!$C$36)*(1-Assumptions!$C$40)*(1+Assumptions!$C$41)</f>
        <v>15800.4</v>
      </c>
      <c r="N37" s="24">
        <f>Drivers!N12*(Assumptions!$C$27/1000000*Assumptions!$C$35+Assumptions!$C$28/1000000*Assumptions!$C$36)*(1-Assumptions!$C$40)*(1+Assumptions!$C$41)</f>
        <v>21945.000000000004</v>
      </c>
      <c r="O37" s="24">
        <f>Drivers!O12*(Assumptions!$C$27/1000000*Assumptions!$C$35+Assumptions!$C$28/1000000*Assumptions!$C$36)*(1-Assumptions!$C$40)*(1+Assumptions!$C$41)</f>
        <v>26334.000000000004</v>
      </c>
      <c r="P37" s="24">
        <f>Drivers!P12*(Assumptions!$C$27/1000000*Assumptions!$C$35+Assumptions!$C$28/1000000*Assumptions!$C$36)*(1-Assumptions!$C$40)*(1+Assumptions!$C$41)</f>
        <v>31820.25</v>
      </c>
      <c r="Q37" s="24">
        <f>Drivers!Q12*(Assumptions!$C$27/1000000*Assumptions!$C$35+Assumptions!$C$28/1000000*Assumptions!$C$36)*(1-Assumptions!$C$40)*(1+Assumptions!$C$41)</f>
        <v>37745.4</v>
      </c>
      <c r="R37" s="24">
        <f>Drivers!R12*(Assumptions!$C$27/1000000*Assumptions!$C$35+Assumptions!$C$28/1000000*Assumptions!$C$36)*(1-Assumptions!$C$40)*(1+Assumptions!$C$41)</f>
        <v>44987.250000000007</v>
      </c>
      <c r="S37" s="24">
        <f>Drivers!S12*(Assumptions!$C$27/1000000*Assumptions!$C$35+Assumptions!$C$28/1000000*Assumptions!$C$36)*(1-Assumptions!$C$40)*(1+Assumptions!$C$41)</f>
        <v>54862.500000000007</v>
      </c>
      <c r="T37" s="24">
        <f>Drivers!T12*(Assumptions!$C$27/1000000*Assumptions!$C$35+Assumptions!$C$28/1000000*Assumptions!$C$36)*(1-Assumptions!$C$40)*(1+Assumptions!$C$41)</f>
        <v>65835</v>
      </c>
      <c r="U37" s="24">
        <f>Drivers!U12*(Assumptions!$C$27/1000000*Assumptions!$C$35+Assumptions!$C$28/1000000*Assumptions!$C$36)*(1-Assumptions!$C$40)*(1+Assumptions!$C$41)</f>
        <v>69126.75</v>
      </c>
      <c r="V37" s="24">
        <f>Drivers!V12*(Assumptions!$C$27/1000000*Assumptions!$C$35+Assumptions!$C$28/1000000*Assumptions!$C$36)*(1-Assumptions!$C$40)*(1+Assumptions!$C$41)</f>
        <v>72418.5</v>
      </c>
      <c r="W37" s="24">
        <f>Drivers!W12*(Assumptions!$C$27/1000000*Assumptions!$C$35+Assumptions!$C$28/1000000*Assumptions!$C$36)*(1-Assumptions!$C$40)*(1+Assumptions!$C$41)</f>
        <v>75710.25</v>
      </c>
      <c r="X37" s="24">
        <f>Drivers!X12*(Assumptions!$C$27/1000000*Assumptions!$C$35+Assumptions!$C$28/1000000*Assumptions!$C$36)*(1-Assumptions!$C$40)*(1+Assumptions!$C$41)</f>
        <v>79002</v>
      </c>
      <c r="Y37" s="24">
        <f>Drivers!Y12*(Assumptions!$C$27/1000000*Assumptions!$C$35+Assumptions!$C$28/1000000*Assumptions!$C$36)*(1-Assumptions!$C$40)*(1+Assumptions!$C$41)</f>
        <v>82293.75</v>
      </c>
      <c r="Z37" s="24">
        <f>Drivers!Z12*(Assumptions!$C$27/1000000*Assumptions!$C$35+Assumptions!$C$28/1000000*Assumptions!$C$36)*(1-Assumptions!$C$40)*(1+Assumptions!$C$41)</f>
        <v>85585.5</v>
      </c>
      <c r="AA37" s="24">
        <f>Drivers!AA12*(Assumptions!$C$27/1000000*Assumptions!$C$35+Assumptions!$C$28/1000000*Assumptions!$C$36)*(1-Assumptions!$C$40)*(1+Assumptions!$C$41)</f>
        <v>89974.500000000015</v>
      </c>
      <c r="AB37" s="24">
        <f>Drivers!AB12*(Assumptions!$C$27/1000000*Assumptions!$C$35+Assumptions!$C$28/1000000*Assumptions!$C$36)*(1-Assumptions!$C$40)*(1+Assumptions!$C$41)</f>
        <v>94363.500000000015</v>
      </c>
      <c r="AC37" s="24">
        <f>Drivers!AC12*(Assumptions!$C$27/1000000*Assumptions!$C$35+Assumptions!$C$28/1000000*Assumptions!$C$36)*(1-Assumptions!$C$40)*(1+Assumptions!$C$41)</f>
        <v>98752.500000000015</v>
      </c>
      <c r="AD37" s="24">
        <f>Drivers!AD12*(Assumptions!$C$27/1000000*Assumptions!$C$35+Assumptions!$C$28/1000000*Assumptions!$C$36)*(1-Assumptions!$C$40)*(1+Assumptions!$C$41)</f>
        <v>102044.25000000001</v>
      </c>
      <c r="AE37" s="24">
        <f>Drivers!AE12*(Assumptions!$C$27/1000000*Assumptions!$C$35+Assumptions!$C$28/1000000*Assumptions!$C$36)*(1-Assumptions!$C$40)*(1+Assumptions!$C$41)</f>
        <v>105774.90000000001</v>
      </c>
      <c r="AF37" s="24">
        <f>Drivers!AF12*(Assumptions!$C$27/1000000*Assumptions!$C$35+Assumptions!$C$28/1000000*Assumptions!$C$36)*(1-Assumptions!$C$40)*(1+Assumptions!$C$41)</f>
        <v>109725.00000000001</v>
      </c>
    </row>
    <row r="38" spans="2:32" ht="15" customHeight="1">
      <c r="B38" s="11" t="s">
        <v>382</v>
      </c>
      <c r="C38" s="24">
        <f>Assumptions!$C$29*30.4*(Assumptions!$C$30/1000000*Assumptions!$C$37+Assumptions!$C$31/1000000*Assumptions!$C$38)*(1+Assumptions!$C$41)</f>
        <v>5.32</v>
      </c>
      <c r="D38" s="24">
        <f>Assumptions!$C$29*30.4*(Assumptions!$C$30/1000000*Assumptions!$C$37+Assumptions!$C$31/1000000*Assumptions!$C$38)*(1+Assumptions!$C$41)</f>
        <v>5.32</v>
      </c>
      <c r="E38" s="24">
        <f>Assumptions!$C$29*30.4*(Assumptions!$C$30/1000000*Assumptions!$C$37+Assumptions!$C$31/1000000*Assumptions!$C$38)*(1+Assumptions!$C$41)</f>
        <v>5.32</v>
      </c>
      <c r="F38" s="24">
        <f>Assumptions!$C$29*30.4*(Assumptions!$C$30/1000000*Assumptions!$C$37+Assumptions!$C$31/1000000*Assumptions!$C$38)*(1+Assumptions!$C$41)</f>
        <v>5.32</v>
      </c>
      <c r="G38" s="24">
        <f>Assumptions!$C$29*30.4*(Assumptions!$C$30/1000000*Assumptions!$C$37+Assumptions!$C$31/1000000*Assumptions!$C$38)*(1+Assumptions!$C$41)</f>
        <v>5.32</v>
      </c>
      <c r="H38" s="24">
        <f>Assumptions!$C$29*30.4*(Assumptions!$C$30/1000000*Assumptions!$C$37+Assumptions!$C$31/1000000*Assumptions!$C$38)*(1+Assumptions!$C$41)</f>
        <v>5.32</v>
      </c>
      <c r="I38" s="24">
        <f>Assumptions!$C$29*30.4*(Assumptions!$C$30/1000000*Assumptions!$C$37+Assumptions!$C$31/1000000*Assumptions!$C$38)*(1+Assumptions!$C$41)</f>
        <v>5.32</v>
      </c>
      <c r="J38" s="24">
        <f>Assumptions!$C$29*30.4*(Assumptions!$C$30/1000000*Assumptions!$C$37+Assumptions!$C$31/1000000*Assumptions!$C$38)*(1+Assumptions!$C$41)</f>
        <v>5.32</v>
      </c>
      <c r="K38" s="24">
        <f>Assumptions!$C$29*30.4*(Assumptions!$C$30/1000000*Assumptions!$C$37+Assumptions!$C$31/1000000*Assumptions!$C$38)*(1+Assumptions!$C$41)</f>
        <v>5.32</v>
      </c>
      <c r="L38" s="24">
        <f>Assumptions!$C$29*30.4*(Assumptions!$C$30/1000000*Assumptions!$C$37+Assumptions!$C$31/1000000*Assumptions!$C$38)*(1+Assumptions!$C$41)</f>
        <v>5.32</v>
      </c>
      <c r="M38" s="24">
        <f>Assumptions!$C$29*30.4*(Assumptions!$C$30/1000000*Assumptions!$C$37+Assumptions!$C$31/1000000*Assumptions!$C$38)*(1+Assumptions!$C$41)</f>
        <v>5.32</v>
      </c>
      <c r="N38" s="24">
        <f>Assumptions!$C$29*30.4*(Assumptions!$C$30/1000000*Assumptions!$C$37+Assumptions!$C$31/1000000*Assumptions!$C$38)*(1+Assumptions!$C$41)</f>
        <v>5.32</v>
      </c>
      <c r="O38" s="24">
        <f>Assumptions!$C$29*30.4*(Assumptions!$C$30/1000000*Assumptions!$C$37+Assumptions!$C$31/1000000*Assumptions!$C$38)*(1+Assumptions!$C$41)</f>
        <v>5.32</v>
      </c>
      <c r="P38" s="24">
        <f>Assumptions!$C$29*30.4*(Assumptions!$C$30/1000000*Assumptions!$C$37+Assumptions!$C$31/1000000*Assumptions!$C$38)*(1+Assumptions!$C$41)</f>
        <v>5.32</v>
      </c>
      <c r="Q38" s="24">
        <f>Assumptions!$C$29*30.4*(Assumptions!$C$30/1000000*Assumptions!$C$37+Assumptions!$C$31/1000000*Assumptions!$C$38)*(1+Assumptions!$C$41)</f>
        <v>5.32</v>
      </c>
      <c r="R38" s="24">
        <f>Assumptions!$C$29*30.4*(Assumptions!$C$30/1000000*Assumptions!$C$37+Assumptions!$C$31/1000000*Assumptions!$C$38)*(1+Assumptions!$C$41)</f>
        <v>5.32</v>
      </c>
      <c r="S38" s="24">
        <f>Assumptions!$C$29*30.4*(Assumptions!$C$30/1000000*Assumptions!$C$37+Assumptions!$C$31/1000000*Assumptions!$C$38)*(1+Assumptions!$C$41)</f>
        <v>5.32</v>
      </c>
      <c r="T38" s="24">
        <f>Assumptions!$C$29*30.4*(Assumptions!$C$30/1000000*Assumptions!$C$37+Assumptions!$C$31/1000000*Assumptions!$C$38)*(1+Assumptions!$C$41)</f>
        <v>5.32</v>
      </c>
      <c r="U38" s="24">
        <f>Assumptions!$C$29*30.4*(Assumptions!$C$30/1000000*Assumptions!$C$37+Assumptions!$C$31/1000000*Assumptions!$C$38)*(1+Assumptions!$C$41)</f>
        <v>5.32</v>
      </c>
      <c r="V38" s="24">
        <f>Assumptions!$C$29*30.4*(Assumptions!$C$30/1000000*Assumptions!$C$37+Assumptions!$C$31/1000000*Assumptions!$C$38)*(1+Assumptions!$C$41)</f>
        <v>5.32</v>
      </c>
      <c r="W38" s="24">
        <f>Assumptions!$C$29*30.4*(Assumptions!$C$30/1000000*Assumptions!$C$37+Assumptions!$C$31/1000000*Assumptions!$C$38)*(1+Assumptions!$C$41)</f>
        <v>5.32</v>
      </c>
      <c r="X38" s="24">
        <f>Assumptions!$C$29*30.4*(Assumptions!$C$30/1000000*Assumptions!$C$37+Assumptions!$C$31/1000000*Assumptions!$C$38)*(1+Assumptions!$C$41)</f>
        <v>5.32</v>
      </c>
      <c r="Y38" s="24">
        <f>Assumptions!$C$29*30.4*(Assumptions!$C$30/1000000*Assumptions!$C$37+Assumptions!$C$31/1000000*Assumptions!$C$38)*(1+Assumptions!$C$41)</f>
        <v>5.32</v>
      </c>
      <c r="Z38" s="24">
        <f>Assumptions!$C$29*30.4*(Assumptions!$C$30/1000000*Assumptions!$C$37+Assumptions!$C$31/1000000*Assumptions!$C$38)*(1+Assumptions!$C$41)</f>
        <v>5.32</v>
      </c>
      <c r="AA38" s="24">
        <f>Assumptions!$C$29*30.4*(Assumptions!$C$30/1000000*Assumptions!$C$37+Assumptions!$C$31/1000000*Assumptions!$C$38)*(1+Assumptions!$C$41)</f>
        <v>5.32</v>
      </c>
      <c r="AB38" s="24">
        <f>Assumptions!$C$29*30.4*(Assumptions!$C$30/1000000*Assumptions!$C$37+Assumptions!$C$31/1000000*Assumptions!$C$38)*(1+Assumptions!$C$41)</f>
        <v>5.32</v>
      </c>
      <c r="AC38" s="24">
        <f>Assumptions!$C$29*30.4*(Assumptions!$C$30/1000000*Assumptions!$C$37+Assumptions!$C$31/1000000*Assumptions!$C$38)*(1+Assumptions!$C$41)</f>
        <v>5.32</v>
      </c>
      <c r="AD38" s="24">
        <f>Assumptions!$C$29*30.4*(Assumptions!$C$30/1000000*Assumptions!$C$37+Assumptions!$C$31/1000000*Assumptions!$C$38)*(1+Assumptions!$C$41)</f>
        <v>5.32</v>
      </c>
      <c r="AE38" s="24">
        <f>Assumptions!$C$29*30.4*(Assumptions!$C$30/1000000*Assumptions!$C$37+Assumptions!$C$31/1000000*Assumptions!$C$38)*(1+Assumptions!$C$41)</f>
        <v>5.32</v>
      </c>
      <c r="AF38" s="24">
        <f>Assumptions!$C$29*30.4*(Assumptions!$C$30/1000000*Assumptions!$C$37+Assumptions!$C$31/1000000*Assumptions!$C$38)*(1+Assumptions!$C$41)</f>
        <v>5.32</v>
      </c>
    </row>
    <row r="39" spans="2:32" ht="15" customHeight="1">
      <c r="B39" s="41" t="s">
        <v>383</v>
      </c>
      <c r="C39" s="42">
        <f>C36+C37+C38</f>
        <v>217.05600000000001</v>
      </c>
      <c r="D39" s="42">
        <f>D36+D37+D38</f>
        <v>481.72600000000006</v>
      </c>
      <c r="E39" s="42">
        <f>E36+E37+E38</f>
        <v>852.26400000000012</v>
      </c>
      <c r="F39" s="42">
        <f>F36+F37+F38</f>
        <v>1381.6039999999998</v>
      </c>
      <c r="G39" s="42">
        <f>G36+G37+G38</f>
        <v>1990.345</v>
      </c>
      <c r="H39" s="42">
        <f>H36+H37+H38</f>
        <v>2652.02</v>
      </c>
      <c r="I39" s="42">
        <f>I36+I37+I38</f>
        <v>3975.3700000000003</v>
      </c>
      <c r="J39" s="42">
        <f>J36+J37+J38</f>
        <v>6092.73</v>
      </c>
      <c r="K39" s="42">
        <f>K36+K37+K38</f>
        <v>9004.0999999999985</v>
      </c>
      <c r="L39" s="42">
        <f>L36+L37+L38</f>
        <v>13238.820000000002</v>
      </c>
      <c r="M39" s="42">
        <f>M36+M37+M38</f>
        <v>19061.559999999998</v>
      </c>
      <c r="N39" s="42">
        <f>N36+N37+N38</f>
        <v>26472.320000000003</v>
      </c>
      <c r="O39" s="42">
        <f>O36+O37+O38</f>
        <v>31765.72</v>
      </c>
      <c r="P39" s="42">
        <f>P36+P37+P38</f>
        <v>38382.47</v>
      </c>
      <c r="Q39" s="42">
        <f>Q36+Q37+Q38</f>
        <v>45528.56</v>
      </c>
      <c r="R39" s="42">
        <f>R36+R37+R38</f>
        <v>54262.670000000006</v>
      </c>
      <c r="S39" s="42">
        <f>S36+S37+S38</f>
        <v>66172.820000000007</v>
      </c>
      <c r="T39" s="42">
        <f>T36+T37+T38</f>
        <v>79406.320000000007</v>
      </c>
      <c r="U39" s="42">
        <f>U36+U37+U38</f>
        <v>83376.37000000001</v>
      </c>
      <c r="V39" s="42">
        <f>V36+V37+V38</f>
        <v>87346.420000000013</v>
      </c>
      <c r="W39" s="42">
        <f>W36+W37+W38</f>
        <v>91316.47</v>
      </c>
      <c r="X39" s="42">
        <f>X36+X37+X38</f>
        <v>95286.52</v>
      </c>
      <c r="Y39" s="42">
        <f>Y36+Y37+Y38</f>
        <v>99256.57</v>
      </c>
      <c r="Z39" s="42">
        <f>Z36+Z37+Z38</f>
        <v>103226.62000000001</v>
      </c>
      <c r="AA39" s="42">
        <f>AA36+AA37+AA38</f>
        <v>108520.02000000002</v>
      </c>
      <c r="AB39" s="42">
        <f>AB36+AB37+AB38</f>
        <v>113813.42000000001</v>
      </c>
      <c r="AC39" s="42">
        <f>AC36+AC37+AC38</f>
        <v>119106.82000000002</v>
      </c>
      <c r="AD39" s="42">
        <f>AD36+AD37+AD38</f>
        <v>123076.87000000002</v>
      </c>
      <c r="AE39" s="42">
        <f>AE36+AE37+AE38</f>
        <v>127576.26000000001</v>
      </c>
      <c r="AF39" s="42">
        <f>AF36+AF37+AF38</f>
        <v>132340.32</v>
      </c>
    </row>
    <row r="40" spans="2:32" ht="15" customHeight="1">
      <c r="B40" s="15" t="s">
        <v>384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</row>
    <row r="41" spans="2:32" ht="15" customHeight="1">
      <c r="B41" s="11" t="s">
        <v>385</v>
      </c>
      <c r="C41" s="24">
        <f>IF((1)&gt;=Assumptions!$C$88,Drivers!C7/1000*Assumptions!$C$89*Assumptions!$C$90,0)</f>
        <v>0</v>
      </c>
      <c r="D41" s="24">
        <f>IF((2)&gt;=Assumptions!$C$88,Drivers!D7/1000*Assumptions!$C$89*Assumptions!$C$90,0)</f>
        <v>0</v>
      </c>
      <c r="E41" s="24">
        <f>IF((3)&gt;=Assumptions!$C$88,Drivers!E7/1000*Assumptions!$C$89*Assumptions!$C$90,0)</f>
        <v>0</v>
      </c>
      <c r="F41" s="24">
        <f>IF((4)&gt;=Assumptions!$C$88,Drivers!F7/1000*Assumptions!$C$89*Assumptions!$C$90,0)</f>
        <v>0</v>
      </c>
      <c r="G41" s="24">
        <f>IF((5)&gt;=Assumptions!$C$88,Drivers!G7/1000*Assumptions!$C$89*Assumptions!$C$90,0)</f>
        <v>0</v>
      </c>
      <c r="H41" s="24">
        <f>IF((6)&gt;=Assumptions!$C$88,Drivers!H7/1000*Assumptions!$C$89*Assumptions!$C$90,0)</f>
        <v>0</v>
      </c>
      <c r="I41" s="24">
        <f>IF((7)&gt;=Assumptions!$C$88,Drivers!I7/1000*Assumptions!$C$89*Assumptions!$C$90,0)</f>
        <v>0</v>
      </c>
      <c r="J41" s="24">
        <f>IF((8)&gt;=Assumptions!$C$88,Drivers!J7/1000*Assumptions!$C$89*Assumptions!$C$90,0)</f>
        <v>0</v>
      </c>
      <c r="K41" s="24">
        <f>IF((9)&gt;=Assumptions!$C$88,Drivers!K7/1000*Assumptions!$C$89*Assumptions!$C$90,0)</f>
        <v>0</v>
      </c>
      <c r="L41" s="24">
        <f>IF((10)&gt;=Assumptions!$C$88,Drivers!L7/1000*Assumptions!$C$89*Assumptions!$C$90,0)</f>
        <v>0</v>
      </c>
      <c r="M41" s="24">
        <f>IF((11)&gt;=Assumptions!$C$88,Drivers!M7/1000*Assumptions!$C$89*Assumptions!$C$90,0)</f>
        <v>0</v>
      </c>
      <c r="N41" s="24">
        <f>IF((12)&gt;=Assumptions!$C$88,Drivers!N7/1000*Assumptions!$C$89*Assumptions!$C$90,0)</f>
        <v>0</v>
      </c>
      <c r="O41" s="24">
        <f>IF((13)&gt;=Assumptions!$C$88,Drivers!O7/1000*Assumptions!$C$89*Assumptions!$C$90,0)</f>
        <v>28.8</v>
      </c>
      <c r="P41" s="24">
        <f>IF((14)&gt;=Assumptions!$C$88,Drivers!P7/1000*Assumptions!$C$89*Assumptions!$C$90,0)</f>
        <v>34.800000000000004</v>
      </c>
      <c r="Q41" s="24">
        <f>IF((15)&gt;=Assumptions!$C$88,Drivers!Q7/1000*Assumptions!$C$89*Assumptions!$C$90,0)</f>
        <v>41.28</v>
      </c>
      <c r="R41" s="24">
        <f>IF((16)&gt;=Assumptions!$C$88,Drivers!R7/1000*Assumptions!$C$89*Assumptions!$C$90,0)</f>
        <v>49.2</v>
      </c>
      <c r="S41" s="24">
        <f>IF((17)&gt;=Assumptions!$C$88,Drivers!S7/1000*Assumptions!$C$89*Assumptions!$C$90,0)</f>
        <v>60</v>
      </c>
      <c r="T41" s="24">
        <f>IF((18)&gt;=Assumptions!$C$88,Drivers!T7/1000*Assumptions!$C$89*Assumptions!$C$90,0)</f>
        <v>72</v>
      </c>
      <c r="U41" s="24">
        <f>IF((19)&gt;=Assumptions!$C$88,Drivers!U7/1000*Assumptions!$C$89*Assumptions!$C$90,0)</f>
        <v>75.600000000000009</v>
      </c>
      <c r="V41" s="24">
        <f>IF((20)&gt;=Assumptions!$C$88,Drivers!V7/1000*Assumptions!$C$89*Assumptions!$C$90,0)</f>
        <v>79.2</v>
      </c>
      <c r="W41" s="24">
        <f>IF((21)&gt;=Assumptions!$C$88,Drivers!W7/1000*Assumptions!$C$89*Assumptions!$C$90,0)</f>
        <v>82.8</v>
      </c>
      <c r="X41" s="24">
        <f>IF((22)&gt;=Assumptions!$C$88,Drivers!X7/1000*Assumptions!$C$89*Assumptions!$C$90,0)</f>
        <v>86.4</v>
      </c>
      <c r="Y41" s="24">
        <f>IF((23)&gt;=Assumptions!$C$88,Drivers!Y7/1000*Assumptions!$C$89*Assumptions!$C$90,0)</f>
        <v>90</v>
      </c>
      <c r="Z41" s="24">
        <f>IF((24)&gt;=Assumptions!$C$88,Drivers!Z7/1000*Assumptions!$C$89*Assumptions!$C$90,0)</f>
        <v>93.600000000000009</v>
      </c>
      <c r="AA41" s="24">
        <f>IF((25)&gt;=Assumptions!$C$88,Drivers!AA7/1000*Assumptions!$C$89*Assumptions!$C$90,0)</f>
        <v>98.4</v>
      </c>
      <c r="AB41" s="24">
        <f>IF((26)&gt;=Assumptions!$C$88,Drivers!AB7/1000*Assumptions!$C$89*Assumptions!$C$90,0)</f>
        <v>103.2</v>
      </c>
      <c r="AC41" s="24">
        <f>IF((27)&gt;=Assumptions!$C$88,Drivers!AC7/1000*Assumptions!$C$89*Assumptions!$C$90,0)</f>
        <v>108</v>
      </c>
      <c r="AD41" s="24">
        <f>IF((28)&gt;=Assumptions!$C$88,Drivers!AD7/1000*Assumptions!$C$89*Assumptions!$C$90,0)</f>
        <v>111.60000000000001</v>
      </c>
      <c r="AE41" s="24">
        <f>IF((29)&gt;=Assumptions!$C$88,Drivers!AE7/1000*Assumptions!$C$89*Assumptions!$C$90,0)</f>
        <v>115.68</v>
      </c>
      <c r="AF41" s="24">
        <f>IF((30)&gt;=Assumptions!$C$88,Drivers!AF7/1000*Assumptions!$C$89*Assumptions!$C$90,0)</f>
        <v>120</v>
      </c>
    </row>
    <row r="42" spans="2:32" ht="15" customHeight="1">
      <c r="B42" s="11" t="s">
        <v>386</v>
      </c>
      <c r="C42" s="24">
        <f>IF((1)&gt;=Assumptions!$C$88,Assumptions!$C$92+Drivers!C11/1000000*Assumptions!$C$91,0)</f>
        <v>0</v>
      </c>
      <c r="D42" s="24">
        <f>IF((2)&gt;=Assumptions!$C$88,Assumptions!$C$92+Drivers!D11/1000000*Assumptions!$C$91,0)</f>
        <v>0</v>
      </c>
      <c r="E42" s="24">
        <f>IF((3)&gt;=Assumptions!$C$88,Assumptions!$C$92+Drivers!E11/1000000*Assumptions!$C$91,0)</f>
        <v>0</v>
      </c>
      <c r="F42" s="24">
        <f>IF((4)&gt;=Assumptions!$C$88,Assumptions!$C$92+Drivers!F11/1000000*Assumptions!$C$91,0)</f>
        <v>0</v>
      </c>
      <c r="G42" s="24">
        <f>IF((5)&gt;=Assumptions!$C$88,Assumptions!$C$92+Drivers!G11/1000000*Assumptions!$C$91,0)</f>
        <v>0</v>
      </c>
      <c r="H42" s="24">
        <f>IF((6)&gt;=Assumptions!$C$88,Assumptions!$C$92+Drivers!H11/1000000*Assumptions!$C$91,0)</f>
        <v>0</v>
      </c>
      <c r="I42" s="24">
        <f>IF((7)&gt;=Assumptions!$C$88,Assumptions!$C$92+Drivers!I11/1000000*Assumptions!$C$91,0)</f>
        <v>0</v>
      </c>
      <c r="J42" s="24">
        <f>IF((8)&gt;=Assumptions!$C$88,Assumptions!$C$92+Drivers!J11/1000000*Assumptions!$C$91,0)</f>
        <v>0</v>
      </c>
      <c r="K42" s="24">
        <f>IF((9)&gt;=Assumptions!$C$88,Assumptions!$C$92+Drivers!K11/1000000*Assumptions!$C$91,0)</f>
        <v>0</v>
      </c>
      <c r="L42" s="24">
        <f>IF((10)&gt;=Assumptions!$C$88,Assumptions!$C$92+Drivers!L11/1000000*Assumptions!$C$91,0)</f>
        <v>0</v>
      </c>
      <c r="M42" s="24">
        <f>IF((11)&gt;=Assumptions!$C$88,Assumptions!$C$92+Drivers!M11/1000000*Assumptions!$C$91,0)</f>
        <v>0</v>
      </c>
      <c r="N42" s="24">
        <f>IF((12)&gt;=Assumptions!$C$88,Assumptions!$C$92+Drivers!N11/1000000*Assumptions!$C$91,0)</f>
        <v>0</v>
      </c>
      <c r="O42" s="24">
        <f>IF((13)&gt;=Assumptions!$C$88,Assumptions!$C$92+Drivers!O11/1000000*Assumptions!$C$91,0)</f>
        <v>412.76800000000003</v>
      </c>
      <c r="P42" s="24">
        <f>IF((14)&gt;=Assumptions!$C$88,Assumptions!$C$92+Drivers!P11/1000000*Assumptions!$C$91,0)</f>
        <v>415.428</v>
      </c>
      <c r="Q42" s="24">
        <f>IF((15)&gt;=Assumptions!$C$88,Assumptions!$C$92+Drivers!Q11/1000000*Assumptions!$C$91,0)</f>
        <v>418.30079999999998</v>
      </c>
      <c r="R42" s="24">
        <f>IF((16)&gt;=Assumptions!$C$88,Assumptions!$C$92+Drivers!R11/1000000*Assumptions!$C$91,0)</f>
        <v>421.81200000000001</v>
      </c>
      <c r="S42" s="24">
        <f>IF((17)&gt;=Assumptions!$C$88,Assumptions!$C$92+Drivers!S11/1000000*Assumptions!$C$91,0)</f>
        <v>426.6</v>
      </c>
      <c r="T42" s="24">
        <f>IF((18)&gt;=Assumptions!$C$88,Assumptions!$C$92+Drivers!T11/1000000*Assumptions!$C$91,0)</f>
        <v>431.92</v>
      </c>
      <c r="U42" s="24">
        <f>IF((19)&gt;=Assumptions!$C$88,Assumptions!$C$92+Drivers!U11/1000000*Assumptions!$C$91,0)</f>
        <v>433.51600000000002</v>
      </c>
      <c r="V42" s="24">
        <f>IF((20)&gt;=Assumptions!$C$88,Assumptions!$C$92+Drivers!V11/1000000*Assumptions!$C$91,0)</f>
        <v>435.11200000000002</v>
      </c>
      <c r="W42" s="24">
        <f>IF((21)&gt;=Assumptions!$C$88,Assumptions!$C$92+Drivers!W11/1000000*Assumptions!$C$91,0)</f>
        <v>436.70799999999997</v>
      </c>
      <c r="X42" s="24">
        <f>IF((22)&gt;=Assumptions!$C$88,Assumptions!$C$92+Drivers!X11/1000000*Assumptions!$C$91,0)</f>
        <v>438.30399999999997</v>
      </c>
      <c r="Y42" s="24">
        <f>IF((23)&gt;=Assumptions!$C$88,Assumptions!$C$92+Drivers!Y11/1000000*Assumptions!$C$91,0)</f>
        <v>439.9</v>
      </c>
      <c r="Z42" s="24">
        <f>IF((24)&gt;=Assumptions!$C$88,Assumptions!$C$92+Drivers!Z11/1000000*Assumptions!$C$91,0)</f>
        <v>441.49599999999998</v>
      </c>
      <c r="AA42" s="24">
        <f>IF((25)&gt;=Assumptions!$C$88,Assumptions!$C$92+Drivers!AA11/1000000*Assumptions!$C$91,0)</f>
        <v>443.62400000000002</v>
      </c>
      <c r="AB42" s="24">
        <f>IF((26)&gt;=Assumptions!$C$88,Assumptions!$C$92+Drivers!AB11/1000000*Assumptions!$C$91,0)</f>
        <v>445.75200000000001</v>
      </c>
      <c r="AC42" s="24">
        <f>IF((27)&gt;=Assumptions!$C$88,Assumptions!$C$92+Drivers!AC11/1000000*Assumptions!$C$91,0)</f>
        <v>447.88</v>
      </c>
      <c r="AD42" s="24">
        <f>IF((28)&gt;=Assumptions!$C$88,Assumptions!$C$92+Drivers!AD11/1000000*Assumptions!$C$91,0)</f>
        <v>449.476</v>
      </c>
      <c r="AE42" s="24">
        <f>IF((29)&gt;=Assumptions!$C$88,Assumptions!$C$92+Drivers!AE11/1000000*Assumptions!$C$91,0)</f>
        <v>451.28480000000002</v>
      </c>
      <c r="AF42" s="24">
        <f>IF((30)&gt;=Assumptions!$C$88,Assumptions!$C$92+Drivers!AF11/1000000*Assumptions!$C$91,0)</f>
        <v>453.2</v>
      </c>
    </row>
    <row r="43" spans="2:32" ht="15" customHeight="1">
      <c r="B43" s="11" t="s">
        <v>387</v>
      </c>
      <c r="C43" s="24">
        <f>IF((1)&gt;=Assumptions!$C$88,Drivers!C19*Assumptions!$C$94*Assumptions!$C$93,0)</f>
        <v>0</v>
      </c>
      <c r="D43" s="24">
        <f>IF((2)&gt;=Assumptions!$C$88,Drivers!D19*Assumptions!$C$94*Assumptions!$C$93,0)</f>
        <v>0</v>
      </c>
      <c r="E43" s="24">
        <f>IF((3)&gt;=Assumptions!$C$88,Drivers!E19*Assumptions!$C$94*Assumptions!$C$93,0)</f>
        <v>0</v>
      </c>
      <c r="F43" s="24">
        <f>IF((4)&gt;=Assumptions!$C$88,Drivers!F19*Assumptions!$C$94*Assumptions!$C$93,0)</f>
        <v>0</v>
      </c>
      <c r="G43" s="24">
        <f>IF((5)&gt;=Assumptions!$C$88,Drivers!G19*Assumptions!$C$94*Assumptions!$C$93,0)</f>
        <v>0</v>
      </c>
      <c r="H43" s="24">
        <f>IF((6)&gt;=Assumptions!$C$88,Drivers!H19*Assumptions!$C$94*Assumptions!$C$93,0)</f>
        <v>0</v>
      </c>
      <c r="I43" s="24">
        <f>IF((7)&gt;=Assumptions!$C$88,Drivers!I19*Assumptions!$C$94*Assumptions!$C$93,0)</f>
        <v>0</v>
      </c>
      <c r="J43" s="24">
        <f>IF((8)&gt;=Assumptions!$C$88,Drivers!J19*Assumptions!$C$94*Assumptions!$C$93,0)</f>
        <v>0</v>
      </c>
      <c r="K43" s="24">
        <f>IF((9)&gt;=Assumptions!$C$88,Drivers!K19*Assumptions!$C$94*Assumptions!$C$93,0)</f>
        <v>0</v>
      </c>
      <c r="L43" s="24">
        <f>IF((10)&gt;=Assumptions!$C$88,Drivers!L19*Assumptions!$C$94*Assumptions!$C$93,0)</f>
        <v>0</v>
      </c>
      <c r="M43" s="24">
        <f>IF((11)&gt;=Assumptions!$C$88,Drivers!M19*Assumptions!$C$94*Assumptions!$C$93,0)</f>
        <v>0</v>
      </c>
      <c r="N43" s="24">
        <f>IF((12)&gt;=Assumptions!$C$88,Drivers!N19*Assumptions!$C$94*Assumptions!$C$93,0)</f>
        <v>0</v>
      </c>
      <c r="O43" s="24">
        <f>IF((13)&gt;=Assumptions!$C$88,Drivers!O19*Assumptions!$C$94*Assumptions!$C$93,0)</f>
        <v>20</v>
      </c>
      <c r="P43" s="24">
        <f>IF((14)&gt;=Assumptions!$C$88,Drivers!P19*Assumptions!$C$94*Assumptions!$C$93,0)</f>
        <v>20</v>
      </c>
      <c r="Q43" s="24">
        <f>IF((15)&gt;=Assumptions!$C$88,Drivers!Q19*Assumptions!$C$94*Assumptions!$C$93,0)</f>
        <v>40</v>
      </c>
      <c r="R43" s="24">
        <f>IF((16)&gt;=Assumptions!$C$88,Drivers!R19*Assumptions!$C$94*Assumptions!$C$93,0)</f>
        <v>40</v>
      </c>
      <c r="S43" s="24">
        <f>IF((17)&gt;=Assumptions!$C$88,Drivers!S19*Assumptions!$C$94*Assumptions!$C$93,0)</f>
        <v>40</v>
      </c>
      <c r="T43" s="24">
        <f>IF((18)&gt;=Assumptions!$C$88,Drivers!T19*Assumptions!$C$94*Assumptions!$C$93,0)</f>
        <v>60</v>
      </c>
      <c r="U43" s="24">
        <f>IF((19)&gt;=Assumptions!$C$88,Drivers!U19*Assumptions!$C$94*Assumptions!$C$93,0)</f>
        <v>60</v>
      </c>
      <c r="V43" s="24">
        <f>IF((20)&gt;=Assumptions!$C$88,Drivers!V19*Assumptions!$C$94*Assumptions!$C$93,0)</f>
        <v>60</v>
      </c>
      <c r="W43" s="24">
        <f>IF((21)&gt;=Assumptions!$C$88,Drivers!W19*Assumptions!$C$94*Assumptions!$C$93,0)</f>
        <v>80</v>
      </c>
      <c r="X43" s="24">
        <f>IF((22)&gt;=Assumptions!$C$88,Drivers!X19*Assumptions!$C$94*Assumptions!$C$93,0)</f>
        <v>80</v>
      </c>
      <c r="Y43" s="24">
        <f>IF((23)&gt;=Assumptions!$C$88,Drivers!Y19*Assumptions!$C$94*Assumptions!$C$93,0)</f>
        <v>80</v>
      </c>
      <c r="Z43" s="24">
        <f>IF((24)&gt;=Assumptions!$C$88,Drivers!Z19*Assumptions!$C$94*Assumptions!$C$93,0)</f>
        <v>100</v>
      </c>
      <c r="AA43" s="24">
        <f>IF((25)&gt;=Assumptions!$C$88,Drivers!AA19*Assumptions!$C$94*Assumptions!$C$93,0)</f>
        <v>100</v>
      </c>
      <c r="AB43" s="24">
        <f>IF((26)&gt;=Assumptions!$C$88,Drivers!AB19*Assumptions!$C$94*Assumptions!$C$93,0)</f>
        <v>100</v>
      </c>
      <c r="AC43" s="24">
        <f>IF((27)&gt;=Assumptions!$C$88,Drivers!AC19*Assumptions!$C$94*Assumptions!$C$93,0)</f>
        <v>120</v>
      </c>
      <c r="AD43" s="24">
        <f>IF((28)&gt;=Assumptions!$C$88,Drivers!AD19*Assumptions!$C$94*Assumptions!$C$93,0)</f>
        <v>120</v>
      </c>
      <c r="AE43" s="24">
        <f>IF((29)&gt;=Assumptions!$C$88,Drivers!AE19*Assumptions!$C$94*Assumptions!$C$93,0)</f>
        <v>120</v>
      </c>
      <c r="AF43" s="24">
        <f>IF((30)&gt;=Assumptions!$C$88,Drivers!AF19*Assumptions!$C$94*Assumptions!$C$93,0)</f>
        <v>140</v>
      </c>
    </row>
    <row r="44" spans="2:32" ht="15" customHeight="1">
      <c r="B44" s="11" t="s">
        <v>388</v>
      </c>
      <c r="C44" s="24">
        <f>IF((1)&gt;=Assumptions!$C$88,Drivers!C19*Assumptions!$C$95,0)</f>
        <v>0</v>
      </c>
      <c r="D44" s="24">
        <f>IF((2)&gt;=Assumptions!$C$88,Drivers!D19*Assumptions!$C$95,0)</f>
        <v>0</v>
      </c>
      <c r="E44" s="24">
        <f>IF((3)&gt;=Assumptions!$C$88,Drivers!E19*Assumptions!$C$95,0)</f>
        <v>0</v>
      </c>
      <c r="F44" s="24">
        <f>IF((4)&gt;=Assumptions!$C$88,Drivers!F19*Assumptions!$C$95,0)</f>
        <v>0</v>
      </c>
      <c r="G44" s="24">
        <f>IF((5)&gt;=Assumptions!$C$88,Drivers!G19*Assumptions!$C$95,0)</f>
        <v>0</v>
      </c>
      <c r="H44" s="24">
        <f>IF((6)&gt;=Assumptions!$C$88,Drivers!H19*Assumptions!$C$95,0)</f>
        <v>0</v>
      </c>
      <c r="I44" s="24">
        <f>IF((7)&gt;=Assumptions!$C$88,Drivers!I19*Assumptions!$C$95,0)</f>
        <v>0</v>
      </c>
      <c r="J44" s="24">
        <f>IF((8)&gt;=Assumptions!$C$88,Drivers!J19*Assumptions!$C$95,0)</f>
        <v>0</v>
      </c>
      <c r="K44" s="24">
        <f>IF((9)&gt;=Assumptions!$C$88,Drivers!K19*Assumptions!$C$95,0)</f>
        <v>0</v>
      </c>
      <c r="L44" s="24">
        <f>IF((10)&gt;=Assumptions!$C$88,Drivers!L19*Assumptions!$C$95,0)</f>
        <v>0</v>
      </c>
      <c r="M44" s="24">
        <f>IF((11)&gt;=Assumptions!$C$88,Drivers!M19*Assumptions!$C$95,0)</f>
        <v>0</v>
      </c>
      <c r="N44" s="24">
        <f>IF((12)&gt;=Assumptions!$C$88,Drivers!N19*Assumptions!$C$95,0)</f>
        <v>0</v>
      </c>
      <c r="O44" s="24">
        <f>IF((13)&gt;=Assumptions!$C$88,Drivers!O19*Assumptions!$C$95,0)</f>
        <v>350</v>
      </c>
      <c r="P44" s="24">
        <f>IF((14)&gt;=Assumptions!$C$88,Drivers!P19*Assumptions!$C$95,0)</f>
        <v>350</v>
      </c>
      <c r="Q44" s="24">
        <f>IF((15)&gt;=Assumptions!$C$88,Drivers!Q19*Assumptions!$C$95,0)</f>
        <v>700</v>
      </c>
      <c r="R44" s="24">
        <f>IF((16)&gt;=Assumptions!$C$88,Drivers!R19*Assumptions!$C$95,0)</f>
        <v>700</v>
      </c>
      <c r="S44" s="24">
        <f>IF((17)&gt;=Assumptions!$C$88,Drivers!S19*Assumptions!$C$95,0)</f>
        <v>700</v>
      </c>
      <c r="T44" s="24">
        <f>IF((18)&gt;=Assumptions!$C$88,Drivers!T19*Assumptions!$C$95,0)</f>
        <v>1050</v>
      </c>
      <c r="U44" s="24">
        <f>IF((19)&gt;=Assumptions!$C$88,Drivers!U19*Assumptions!$C$95,0)</f>
        <v>1050</v>
      </c>
      <c r="V44" s="24">
        <f>IF((20)&gt;=Assumptions!$C$88,Drivers!V19*Assumptions!$C$95,0)</f>
        <v>1050</v>
      </c>
      <c r="W44" s="24">
        <f>IF((21)&gt;=Assumptions!$C$88,Drivers!W19*Assumptions!$C$95,0)</f>
        <v>1400</v>
      </c>
      <c r="X44" s="24">
        <f>IF((22)&gt;=Assumptions!$C$88,Drivers!X19*Assumptions!$C$95,0)</f>
        <v>1400</v>
      </c>
      <c r="Y44" s="24">
        <f>IF((23)&gt;=Assumptions!$C$88,Drivers!Y19*Assumptions!$C$95,0)</f>
        <v>1400</v>
      </c>
      <c r="Z44" s="24">
        <f>IF((24)&gt;=Assumptions!$C$88,Drivers!Z19*Assumptions!$C$95,0)</f>
        <v>1750</v>
      </c>
      <c r="AA44" s="24">
        <f>IF((25)&gt;=Assumptions!$C$88,Drivers!AA19*Assumptions!$C$95,0)</f>
        <v>1750</v>
      </c>
      <c r="AB44" s="24">
        <f>IF((26)&gt;=Assumptions!$C$88,Drivers!AB19*Assumptions!$C$95,0)</f>
        <v>1750</v>
      </c>
      <c r="AC44" s="24">
        <f>IF((27)&gt;=Assumptions!$C$88,Drivers!AC19*Assumptions!$C$95,0)</f>
        <v>2100</v>
      </c>
      <c r="AD44" s="24">
        <f>IF((28)&gt;=Assumptions!$C$88,Drivers!AD19*Assumptions!$C$95,0)</f>
        <v>2100</v>
      </c>
      <c r="AE44" s="24">
        <f>IF((29)&gt;=Assumptions!$C$88,Drivers!AE19*Assumptions!$C$95,0)</f>
        <v>2100</v>
      </c>
      <c r="AF44" s="24">
        <f>IF((30)&gt;=Assumptions!$C$88,Drivers!AF19*Assumptions!$C$95,0)</f>
        <v>2450</v>
      </c>
    </row>
    <row r="45" spans="2:32" ht="15" customHeight="1">
      <c r="B45" s="11" t="s">
        <v>389</v>
      </c>
      <c r="C45" s="24">
        <f>IF((1)&gt;=Assumptions!$C$88,Drivers!C20*Assumptions!$C$96,0)</f>
        <v>0</v>
      </c>
      <c r="D45" s="24">
        <f>IF((2)&gt;=Assumptions!$C$88,Drivers!D20*Assumptions!$C$96,0)</f>
        <v>0</v>
      </c>
      <c r="E45" s="24">
        <f>IF((3)&gt;=Assumptions!$C$88,Drivers!E20*Assumptions!$C$96,0)</f>
        <v>0</v>
      </c>
      <c r="F45" s="24">
        <f>IF((4)&gt;=Assumptions!$C$88,Drivers!F20*Assumptions!$C$96,0)</f>
        <v>0</v>
      </c>
      <c r="G45" s="24">
        <f>IF((5)&gt;=Assumptions!$C$88,Drivers!G20*Assumptions!$C$96,0)</f>
        <v>0</v>
      </c>
      <c r="H45" s="24">
        <f>IF((6)&gt;=Assumptions!$C$88,Drivers!H20*Assumptions!$C$96,0)</f>
        <v>0</v>
      </c>
      <c r="I45" s="24">
        <f>IF((7)&gt;=Assumptions!$C$88,Drivers!I20*Assumptions!$C$96,0)</f>
        <v>0</v>
      </c>
      <c r="J45" s="24">
        <f>IF((8)&gt;=Assumptions!$C$88,Drivers!J20*Assumptions!$C$96,0)</f>
        <v>0</v>
      </c>
      <c r="K45" s="24">
        <f>IF((9)&gt;=Assumptions!$C$88,Drivers!K20*Assumptions!$C$96,0)</f>
        <v>0</v>
      </c>
      <c r="L45" s="24">
        <f>IF((10)&gt;=Assumptions!$C$88,Drivers!L20*Assumptions!$C$96,0)</f>
        <v>0</v>
      </c>
      <c r="M45" s="24">
        <f>IF((11)&gt;=Assumptions!$C$88,Drivers!M20*Assumptions!$C$96,0)</f>
        <v>0</v>
      </c>
      <c r="N45" s="24">
        <f>IF((12)&gt;=Assumptions!$C$88,Drivers!N20*Assumptions!$C$96,0)</f>
        <v>0</v>
      </c>
      <c r="O45" s="24">
        <f>IF((13)&gt;=Assumptions!$C$88,Drivers!O20*Assumptions!$C$96,0)</f>
        <v>182.4</v>
      </c>
      <c r="P45" s="24">
        <f>IF((14)&gt;=Assumptions!$C$88,Drivers!P20*Assumptions!$C$96,0)</f>
        <v>182.4</v>
      </c>
      <c r="Q45" s="24">
        <f>IF((15)&gt;=Assumptions!$C$88,Drivers!Q20*Assumptions!$C$96,0)</f>
        <v>364.8</v>
      </c>
      <c r="R45" s="24">
        <f>IF((16)&gt;=Assumptions!$C$88,Drivers!R20*Assumptions!$C$96,0)</f>
        <v>364.8</v>
      </c>
      <c r="S45" s="24">
        <f>IF((17)&gt;=Assumptions!$C$88,Drivers!S20*Assumptions!$C$96,0)</f>
        <v>364.8</v>
      </c>
      <c r="T45" s="24">
        <f>IF((18)&gt;=Assumptions!$C$88,Drivers!T20*Assumptions!$C$96,0)</f>
        <v>547.20000000000005</v>
      </c>
      <c r="U45" s="24">
        <f>IF((19)&gt;=Assumptions!$C$88,Drivers!U20*Assumptions!$C$96,0)</f>
        <v>547.20000000000005</v>
      </c>
      <c r="V45" s="24">
        <f>IF((20)&gt;=Assumptions!$C$88,Drivers!V20*Assumptions!$C$96,0)</f>
        <v>547.20000000000005</v>
      </c>
      <c r="W45" s="24">
        <f>IF((21)&gt;=Assumptions!$C$88,Drivers!W20*Assumptions!$C$96,0)</f>
        <v>729.6</v>
      </c>
      <c r="X45" s="24">
        <f>IF((22)&gt;=Assumptions!$C$88,Drivers!X20*Assumptions!$C$96,0)</f>
        <v>729.6</v>
      </c>
      <c r="Y45" s="24">
        <f>IF((23)&gt;=Assumptions!$C$88,Drivers!Y20*Assumptions!$C$96,0)</f>
        <v>729.6</v>
      </c>
      <c r="Z45" s="24">
        <f>IF((24)&gt;=Assumptions!$C$88,Drivers!Z20*Assumptions!$C$96,0)</f>
        <v>912</v>
      </c>
      <c r="AA45" s="24">
        <f>IF((25)&gt;=Assumptions!$C$88,Drivers!AA20*Assumptions!$C$96,0)</f>
        <v>912</v>
      </c>
      <c r="AB45" s="24">
        <f>IF((26)&gt;=Assumptions!$C$88,Drivers!AB20*Assumptions!$C$96,0)</f>
        <v>912</v>
      </c>
      <c r="AC45" s="24">
        <f>IF((27)&gt;=Assumptions!$C$88,Drivers!AC20*Assumptions!$C$96,0)</f>
        <v>1094.4000000000001</v>
      </c>
      <c r="AD45" s="24">
        <f>IF((28)&gt;=Assumptions!$C$88,Drivers!AD20*Assumptions!$C$96,0)</f>
        <v>1094.4000000000001</v>
      </c>
      <c r="AE45" s="24">
        <f>IF((29)&gt;=Assumptions!$C$88,Drivers!AE20*Assumptions!$C$96,0)</f>
        <v>1094.4000000000001</v>
      </c>
      <c r="AF45" s="24">
        <f>IF((30)&gt;=Assumptions!$C$88,Drivers!AF20*Assumptions!$C$96,0)</f>
        <v>1276.8</v>
      </c>
    </row>
    <row r="46" spans="2:32" ht="15" customHeight="1">
      <c r="B46" s="11" t="s">
        <v>390</v>
      </c>
      <c r="C46" s="24">
        <f>IF((1)&gt;=Assumptions!$C$88,Assumptions!$C$98*Assumptions!$C$64,0)</f>
        <v>0</v>
      </c>
      <c r="D46" s="24">
        <f>IF((2)&gt;=Assumptions!$C$88,Assumptions!$C$98*Assumptions!$C$64,0)</f>
        <v>0</v>
      </c>
      <c r="E46" s="24">
        <f>IF((3)&gt;=Assumptions!$C$88,Assumptions!$C$98*Assumptions!$C$64,0)</f>
        <v>0</v>
      </c>
      <c r="F46" s="24">
        <f>IF((4)&gt;=Assumptions!$C$88,Assumptions!$C$98*Assumptions!$C$64,0)</f>
        <v>0</v>
      </c>
      <c r="G46" s="24">
        <f>IF((5)&gt;=Assumptions!$C$88,Assumptions!$C$98*Assumptions!$C$64,0)</f>
        <v>0</v>
      </c>
      <c r="H46" s="24">
        <f>IF((6)&gt;=Assumptions!$C$88,Assumptions!$C$98*Assumptions!$C$64,0)</f>
        <v>0</v>
      </c>
      <c r="I46" s="24">
        <f>IF((7)&gt;=Assumptions!$C$88,Assumptions!$C$98*Assumptions!$C$64,0)</f>
        <v>0</v>
      </c>
      <c r="J46" s="24">
        <f>IF((8)&gt;=Assumptions!$C$88,Assumptions!$C$98*Assumptions!$C$64,0)</f>
        <v>0</v>
      </c>
      <c r="K46" s="24">
        <f>IF((9)&gt;=Assumptions!$C$88,Assumptions!$C$98*Assumptions!$C$64,0)</f>
        <v>0</v>
      </c>
      <c r="L46" s="24">
        <f>IF((10)&gt;=Assumptions!$C$88,Assumptions!$C$98*Assumptions!$C$64,0)</f>
        <v>0</v>
      </c>
      <c r="M46" s="24">
        <f>IF((11)&gt;=Assumptions!$C$88,Assumptions!$C$98*Assumptions!$C$64,0)</f>
        <v>0</v>
      </c>
      <c r="N46" s="24">
        <f>IF((12)&gt;=Assumptions!$C$88,Assumptions!$C$98*Assumptions!$C$64,0)</f>
        <v>0</v>
      </c>
      <c r="O46" s="24">
        <f>IF((13)&gt;=Assumptions!$C$88,Assumptions!$C$98*Assumptions!$C$64,0)</f>
        <v>30</v>
      </c>
      <c r="P46" s="24">
        <f>IF((14)&gt;=Assumptions!$C$88,Assumptions!$C$98*Assumptions!$C$64,0)</f>
        <v>30</v>
      </c>
      <c r="Q46" s="24">
        <f>IF((15)&gt;=Assumptions!$C$88,Assumptions!$C$98*Assumptions!$C$64,0)</f>
        <v>30</v>
      </c>
      <c r="R46" s="24">
        <f>IF((16)&gt;=Assumptions!$C$88,Assumptions!$C$98*Assumptions!$C$64,0)</f>
        <v>30</v>
      </c>
      <c r="S46" s="24">
        <f>IF((17)&gt;=Assumptions!$C$88,Assumptions!$C$98*Assumptions!$C$64,0)</f>
        <v>30</v>
      </c>
      <c r="T46" s="24">
        <f>IF((18)&gt;=Assumptions!$C$88,Assumptions!$C$98*Assumptions!$C$64,0)</f>
        <v>30</v>
      </c>
      <c r="U46" s="24">
        <f>IF((19)&gt;=Assumptions!$C$88,Assumptions!$C$98*Assumptions!$C$64,0)</f>
        <v>30</v>
      </c>
      <c r="V46" s="24">
        <f>IF((20)&gt;=Assumptions!$C$88,Assumptions!$C$98*Assumptions!$C$64,0)</f>
        <v>30</v>
      </c>
      <c r="W46" s="24">
        <f>IF((21)&gt;=Assumptions!$C$88,Assumptions!$C$98*Assumptions!$C$64,0)</f>
        <v>30</v>
      </c>
      <c r="X46" s="24">
        <f>IF((22)&gt;=Assumptions!$C$88,Assumptions!$C$98*Assumptions!$C$64,0)</f>
        <v>30</v>
      </c>
      <c r="Y46" s="24">
        <f>IF((23)&gt;=Assumptions!$C$88,Assumptions!$C$98*Assumptions!$C$64,0)</f>
        <v>30</v>
      </c>
      <c r="Z46" s="24">
        <f>IF((24)&gt;=Assumptions!$C$88,Assumptions!$C$98*Assumptions!$C$64,0)</f>
        <v>30</v>
      </c>
      <c r="AA46" s="24">
        <f>IF((25)&gt;=Assumptions!$C$88,Assumptions!$C$98*Assumptions!$C$64,0)</f>
        <v>30</v>
      </c>
      <c r="AB46" s="24">
        <f>IF((26)&gt;=Assumptions!$C$88,Assumptions!$C$98*Assumptions!$C$64,0)</f>
        <v>30</v>
      </c>
      <c r="AC46" s="24">
        <f>IF((27)&gt;=Assumptions!$C$88,Assumptions!$C$98*Assumptions!$C$64,0)</f>
        <v>30</v>
      </c>
      <c r="AD46" s="24">
        <f>IF((28)&gt;=Assumptions!$C$88,Assumptions!$C$98*Assumptions!$C$64,0)</f>
        <v>30</v>
      </c>
      <c r="AE46" s="24">
        <f>IF((29)&gt;=Assumptions!$C$88,Assumptions!$C$98*Assumptions!$C$64,0)</f>
        <v>30</v>
      </c>
      <c r="AF46" s="24">
        <f>IF((30)&gt;=Assumptions!$C$88,Assumptions!$C$98*Assumptions!$C$64,0)</f>
        <v>30</v>
      </c>
    </row>
    <row r="47" spans="2:32" ht="15" customHeight="1">
      <c r="B47" s="41" t="s">
        <v>391</v>
      </c>
      <c r="C47" s="42">
        <f>C41+C42+C43+C44+C45+C46</f>
        <v>0</v>
      </c>
      <c r="D47" s="42">
        <f>D41+D42+D43+D44+D45+D46</f>
        <v>0</v>
      </c>
      <c r="E47" s="42">
        <f>E41+E42+E43+E44+E45+E46</f>
        <v>0</v>
      </c>
      <c r="F47" s="42">
        <f>F41+F42+F43+F44+F45+F46</f>
        <v>0</v>
      </c>
      <c r="G47" s="42">
        <f>G41+G42+G43+G44+G45+G46</f>
        <v>0</v>
      </c>
      <c r="H47" s="42">
        <f>H41+H42+H43+H44+H45+H46</f>
        <v>0</v>
      </c>
      <c r="I47" s="42">
        <f>I41+I42+I43+I44+I45+I46</f>
        <v>0</v>
      </c>
      <c r="J47" s="42">
        <f>J41+J42+J43+J44+J45+J46</f>
        <v>0</v>
      </c>
      <c r="K47" s="42">
        <f>K41+K42+K43+K44+K45+K46</f>
        <v>0</v>
      </c>
      <c r="L47" s="42">
        <f>L41+L42+L43+L44+L45+L46</f>
        <v>0</v>
      </c>
      <c r="M47" s="42">
        <f>M41+M42+M43+M44+M45+M46</f>
        <v>0</v>
      </c>
      <c r="N47" s="42">
        <f>N41+N42+N43+N44+N45+N46</f>
        <v>0</v>
      </c>
      <c r="O47" s="42">
        <f>O41+O42+O43+O44+O45+O46</f>
        <v>1023.968</v>
      </c>
      <c r="P47" s="42">
        <f>P41+P42+P43+P44+P45+P46</f>
        <v>1032.6280000000002</v>
      </c>
      <c r="Q47" s="42">
        <f>Q41+Q42+Q43+Q44+Q45+Q46</f>
        <v>1594.3807999999999</v>
      </c>
      <c r="R47" s="42">
        <f>R41+R42+R43+R44+R45+R46</f>
        <v>1605.8119999999999</v>
      </c>
      <c r="S47" s="42">
        <f>S41+S42+S43+S44+S45+S46</f>
        <v>1621.3999999999999</v>
      </c>
      <c r="T47" s="42">
        <f>T41+T42+T43+T44+T45+T46</f>
        <v>2191.12</v>
      </c>
      <c r="U47" s="42">
        <f>U41+U42+U43+U44+U45+U46</f>
        <v>2196.3159999999998</v>
      </c>
      <c r="V47" s="42">
        <f>V41+V42+V43+V44+V45+V46</f>
        <v>2201.5119999999997</v>
      </c>
      <c r="W47" s="42">
        <f>W41+W42+W43+W44+W45+W46</f>
        <v>2759.1079999999997</v>
      </c>
      <c r="X47" s="42">
        <f>X41+X42+X43+X44+X45+X46</f>
        <v>2764.3040000000001</v>
      </c>
      <c r="Y47" s="42">
        <f>Y41+Y42+Y43+Y44+Y45+Y46</f>
        <v>2769.5</v>
      </c>
      <c r="Z47" s="42">
        <f>Z41+Z42+Z43+Z44+Z45+Z46</f>
        <v>3327.096</v>
      </c>
      <c r="AA47" s="42">
        <f>AA41+AA42+AA43+AA44+AA45+AA46</f>
        <v>3334.0239999999999</v>
      </c>
      <c r="AB47" s="42">
        <f>AB41+AB42+AB43+AB44+AB45+AB46</f>
        <v>3340.9520000000002</v>
      </c>
      <c r="AC47" s="42">
        <f>AC41+AC42+AC43+AC44+AC45+AC46</f>
        <v>3900.28</v>
      </c>
      <c r="AD47" s="42">
        <f>AD41+AD42+AD43+AD44+AD45+AD46</f>
        <v>3905.4760000000001</v>
      </c>
      <c r="AE47" s="42">
        <f>AE41+AE42+AE43+AE44+AE45+AE46</f>
        <v>3911.3647999999998</v>
      </c>
      <c r="AF47" s="42">
        <f>AF41+AF42+AF43+AF44+AF45+AF46</f>
        <v>4470</v>
      </c>
    </row>
    <row r="49" spans="2:32" ht="15" customHeight="1">
      <c r="B49" s="13" t="s">
        <v>392</v>
      </c>
      <c r="C49" s="14">
        <f>C11+C15+C21+C30+C34+C39+C47</f>
        <v>9107.3487003393566</v>
      </c>
      <c r="D49" s="14">
        <f>D11+D15+D21+D30+D34+D39+D47</f>
        <v>9407.8426736029051</v>
      </c>
      <c r="E49" s="14">
        <f>E11+E15+E21+E30+E34+E39+E47</f>
        <v>9828.7217443353256</v>
      </c>
      <c r="F49" s="14">
        <f>F11+F15+F21+F30+F34+F39+F47</f>
        <v>10430.150886541138</v>
      </c>
      <c r="G49" s="14">
        <f>G11+G15+G21+G30+G34+G39+G47</f>
        <v>11122.213535972593</v>
      </c>
      <c r="H49" s="14">
        <f>H11+H15+H21+H30+H34+H39+H47</f>
        <v>11874.965079277039</v>
      </c>
      <c r="I49" s="14">
        <f>I11+I15+I21+I30+I34+I39+I47</f>
        <v>13475.339429389953</v>
      </c>
      <c r="J49" s="14">
        <f>J11+J15+J21+J30+J34+J39+J47</f>
        <v>16076.512642271422</v>
      </c>
      <c r="K49" s="14">
        <f>K11+K15+K21+K30+K34+K39+K47</f>
        <v>19613.561959819031</v>
      </c>
      <c r="L49" s="14">
        <f>L11+L15+L21+L30+L34+L39+L47</f>
        <v>24863.63137477875</v>
      </c>
      <c r="M49" s="14">
        <f>M11+M15+M21+M30+M34+M39+M47</f>
        <v>32043.952999070738</v>
      </c>
      <c r="N49" s="14">
        <f>N11+N15+N21+N30+N34+N39+N47</f>
        <v>41366.421316490174</v>
      </c>
      <c r="O49" s="14">
        <f>O11+O15+O21+O30+O34+O39+O47</f>
        <v>49427.926305991365</v>
      </c>
      <c r="P49" s="14">
        <f>P11+P15+P21+P30+P34+P39+P47</f>
        <v>58054.260648729702</v>
      </c>
      <c r="Q49" s="14">
        <f>Q11+Q15+Q21+Q30+Q34+Q39+Q47</f>
        <v>67794.477401462864</v>
      </c>
      <c r="R49" s="14">
        <f>R11+R15+R21+R30+R34+R39+R47</f>
        <v>79082.130396411914</v>
      </c>
      <c r="S49" s="14">
        <f>S11+S15+S21+S30+S34+S39+S47</f>
        <v>94180.354568643961</v>
      </c>
      <c r="T49" s="14">
        <f>T11+T15+T21+T30+T34+T39+T47</f>
        <v>111470.04107657242</v>
      </c>
      <c r="U49" s="14">
        <f>U11+U15+U21+U30+U34+U39+U47</f>
        <v>116640.28895411607</v>
      </c>
      <c r="V49" s="14">
        <f>V11+V15+V21+V30+V34+V39+V47</f>
        <v>121707.5333653374</v>
      </c>
      <c r="W49" s="14">
        <f>W11+W15+W21+W30+W34+W39+W47</f>
        <v>127331.39671023635</v>
      </c>
      <c r="X49" s="14">
        <f>X11+X15+X21+X30+X34+X39+X47</f>
        <v>132407.07898881301</v>
      </c>
      <c r="Y49" s="14">
        <f>Y11+Y15+Y21+Y30+Y34+Y39+Y47</f>
        <v>137594.20260106737</v>
      </c>
      <c r="Z49" s="14">
        <f>Z11+Z15+Z21+Z30+Z34+Z39+Z47</f>
        <v>143230.72274699935</v>
      </c>
      <c r="AA49" s="14">
        <f>AA11+AA15+AA21+AA30+AA34+AA39+AA47</f>
        <v>150791.9203414238</v>
      </c>
      <c r="AB49" s="14">
        <f>AB11+AB15+AB21+AB30+AB34+AB39+AB47</f>
        <v>157536.01855393156</v>
      </c>
      <c r="AC49" s="14">
        <f>AC11+AC15+AC21+AC30+AC34+AC39+AC47</f>
        <v>164948.35155488449</v>
      </c>
      <c r="AD49" s="14">
        <f>AD11+AD15+AD21+AD30+AD34+AD39+AD47</f>
        <v>170075.08118193687</v>
      </c>
      <c r="AE49" s="14">
        <f>AE11+AE15+AE21+AE30+AE34+AE39+AE47</f>
        <v>175967.76881326135</v>
      </c>
      <c r="AF49" s="14">
        <f>AF11+AF15+AF21+AF30+AF34+AF39+AF47</f>
        <v>182633.48720723332</v>
      </c>
    </row>
    <row r="50" spans="2:32" ht="15" customHeight="1">
      <c r="B50" s="21" t="s">
        <v>393</v>
      </c>
      <c r="C50" s="43">
        <f>C49</f>
        <v>9107.3487003393566</v>
      </c>
      <c r="D50" s="43">
        <f>C50+D49</f>
        <v>18515.19137394226</v>
      </c>
      <c r="E50" s="43">
        <f>D50+E49</f>
        <v>28343.913118277585</v>
      </c>
      <c r="F50" s="43">
        <f>E50+F49</f>
        <v>38774.06400481872</v>
      </c>
      <c r="G50" s="43">
        <f>F50+G49</f>
        <v>49896.277540791314</v>
      </c>
      <c r="H50" s="43">
        <f>G50+H49</f>
        <v>61771.242620068355</v>
      </c>
      <c r="I50" s="43">
        <f>H50+I49</f>
        <v>75246.582049458302</v>
      </c>
      <c r="J50" s="43">
        <f>I50+J49</f>
        <v>91323.094691729726</v>
      </c>
      <c r="K50" s="43">
        <f>J50+K49</f>
        <v>110936.65665154875</v>
      </c>
      <c r="L50" s="43">
        <f>K50+L49</f>
        <v>135800.2880263275</v>
      </c>
      <c r="M50" s="43">
        <f>L50+M49</f>
        <v>167844.24102539825</v>
      </c>
      <c r="N50" s="43">
        <f>M50+N49</f>
        <v>209210.66234188841</v>
      </c>
      <c r="O50" s="43">
        <f>N50+O49</f>
        <v>258638.58864787978</v>
      </c>
      <c r="P50" s="43">
        <f>O50+P49</f>
        <v>316692.84929660946</v>
      </c>
      <c r="Q50" s="43">
        <f>P50+Q49</f>
        <v>384487.32669807231</v>
      </c>
      <c r="R50" s="43">
        <f>Q50+R49</f>
        <v>463569.45709448424</v>
      </c>
      <c r="S50" s="43">
        <f>R50+S49</f>
        <v>557749.8116631282</v>
      </c>
      <c r="T50" s="43">
        <f>S50+T49</f>
        <v>669219.85273970058</v>
      </c>
      <c r="U50" s="43">
        <f>T50+U49</f>
        <v>785860.14169381664</v>
      </c>
      <c r="V50" s="43">
        <f>U50+V49</f>
        <v>907567.67505915405</v>
      </c>
      <c r="W50" s="43">
        <f>V50+W49</f>
        <v>1034899.0717693904</v>
      </c>
      <c r="X50" s="43">
        <f>W50+X49</f>
        <v>1167306.1507582034</v>
      </c>
      <c r="Y50" s="43">
        <f>X50+Y49</f>
        <v>1304900.3533592708</v>
      </c>
      <c r="Z50" s="43">
        <f>Y50+Z49</f>
        <v>1448131.0761062703</v>
      </c>
      <c r="AA50" s="43">
        <f>Z50+AA49</f>
        <v>1598922.996447694</v>
      </c>
      <c r="AB50" s="43">
        <f>AA50+AB49</f>
        <v>1756459.0150016255</v>
      </c>
      <c r="AC50" s="43">
        <f>AB50+AC49</f>
        <v>1921407.3665565101</v>
      </c>
      <c r="AD50" s="43">
        <f>AC50+AD49</f>
        <v>2091482.447738447</v>
      </c>
      <c r="AE50" s="43">
        <f>AD50+AE49</f>
        <v>2267450.2165517085</v>
      </c>
      <c r="AF50" s="43">
        <f>AE50+AF49</f>
        <v>2450083.703758942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2026-06-22T23:41:59Z</dcterms:created>
  <dcterms:modified xsi:type="dcterms:W3CDTF">2026-06-23T14:44:55Z</dcterms:modified>
  <cp:category/>
  <cp:contentStatus/>
</cp:coreProperties>
</file>