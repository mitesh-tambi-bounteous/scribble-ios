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ssumptions" sheetId="3" state="visible" r:id="rId5"/>
    <sheet name="Drivers" sheetId="4" state="visible" r:id="rId6"/>
    <sheet name="Cos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<sst xmlns="http://schemas.openxmlformats.org/spreadsheetml/2006/main" count="429" uniqueCount="394">
  <si>
    <t xml:space="preserve">Scribl D2C  -  Infrastructure TCO Model</t>
  </si>
  <si>
    <t xml:space="preserve">What this is</t>
  </si>
  <si>
    <t xml:space="preserve">A 30-month run-rate model (Oct 2026 - Mar 2029) for Scribl D2C infrastructure, built bottom-up from the six</t>
  </si>
  <si>
    <t xml:space="preserve">consumption pillars: Compute (EKS), Security (Cognito + WAF), Networking (ALB + data transfer),</t>
  </si>
  <si>
    <t xml:space="preserve">Database (DynamoDB + Aurora), Storage (S3), and AI App (Bedrock + Claude). A Data Lake / ML research</t>
  </si>
  <si>
    <t xml:space="preserve">workstream switches on after Year 1 for mental-health outcomes research and dataset publishing. Unit prices</t>
  </si>
  <si>
    <t xml:space="preserve">are anchored to AWS us-east-2 (Ohio) and Anthropic rates, both validated June 2026.</t>
  </si>
  <si>
    <t xml:space="preserve">Drivers of consumption</t>
  </si>
  <si>
    <t xml:space="preserve">Pillars are listed largest first. AI Inference is the dominant line, around 60% of the 30-month total and</t>
  </si>
  <si>
    <t xml:space="preserve">about two-thirds at full scale. The rest is real infrastructure: the model runs three environments (dev,</t>
  </si>
  <si>
    <t xml:space="preserve">stage, prod), so compute and database carry an always-on baseline. The gross floor is around $11k/month at</t>
  </si>
  <si>
    <t xml:space="preserve">launch; roughly $9.5k is demand-driven and the remainder is reserved launch-readiness headroom you can dial</t>
  </si>
  <si>
    <t xml:space="preserve">on the Assumptions tab. User scaling and regional expansion lift it from there.</t>
  </si>
  <si>
    <t xml:space="preserve">AI Inference  (Bedrock + Claude)</t>
  </si>
  <si>
    <t xml:space="preserve">The daily prompt is generated once for all users, so prompt generation runs about 150 calls a month and</t>
  </si>
  <si>
    <t xml:space="preserve">costs roughly five dollars. The rest is per-item: a vision read on every drawing that returns a caption or</t>
  </si>
  <si>
    <t xml:space="preserve">headline, and a moderation check on every submission. The calls Claude makes inside the product:</t>
  </si>
  <si>
    <t xml:space="preserve">Inference feature</t>
  </si>
  <si>
    <t xml:space="preserve">Model</t>
  </si>
  <si>
    <t xml:space="preserve">Fires on</t>
  </si>
  <si>
    <t xml:space="preserve">Calls/mo @ 5M</t>
  </si>
  <si>
    <t xml:space="preserve">Share of AI $</t>
  </si>
  <si>
    <t xml:space="preserve">Daily prompt generation</t>
  </si>
  <si>
    <t xml:space="preserve">Opus 4.8</t>
  </si>
  <si>
    <t xml:space="preserve">Once per day, all users</t>
  </si>
  <si>
    <t xml:space="preserve">~150</t>
  </si>
  <si>
    <t xml:space="preserve">&lt;0.1%</t>
  </si>
  <si>
    <t xml:space="preserve">Drawing read + caption/headline</t>
  </si>
  <si>
    <t xml:space="preserve">Sonnet 4.6 (vision)</t>
  </si>
  <si>
    <t xml:space="preserve">Every drawing submitted</t>
  </si>
  <si>
    <t xml:space="preserve">~14.6M</t>
  </si>
  <si>
    <t xml:space="preserve">~78%</t>
  </si>
  <si>
    <t xml:space="preserve">Content moderation</t>
  </si>
  <si>
    <t xml:space="preserve">Haiku 4.5</t>
  </si>
  <si>
    <t xml:space="preserve">Every submission</t>
  </si>
  <si>
    <t xml:space="preserve">~26.6M</t>
  </si>
  <si>
    <t xml:space="preserve">~22%</t>
  </si>
  <si>
    <t xml:space="preserve">Personalized follow-ups</t>
  </si>
  <si>
    <t xml:space="preserve">Agentic (memory)</t>
  </si>
  <si>
    <t xml:space="preserve">Post-launch; not modelled</t>
  </si>
  <si>
    <t xml:space="preserve">--</t>
  </si>
  <si>
    <t xml:space="preserve">Exciting Artifact composition</t>
  </si>
  <si>
    <t xml:space="preserve">Generative</t>
  </si>
  <si>
    <t xml:space="preserve">Q1 2027; not modelled</t>
  </si>
  <si>
    <t xml:space="preserve">Shares are at default assumptions and 5M users. The two post-launch features are listed for completeness;</t>
  </si>
  <si>
    <t xml:space="preserve">neither is in the cost numbers.</t>
  </si>
  <si>
    <t xml:space="preserve">Compute  (EKS)</t>
  </si>
  <si>
    <t xml:space="preserve">One EKS cluster per environment runs the application services. Production runs in every active region while</t>
  </si>
  <si>
    <t xml:space="preserve">dev and stage stay in the primary region, so the cluster count goes from three today (dev, stage, prod in</t>
  </si>
  <si>
    <t xml:space="preserve">Ohio) to five at full three-region expansion (prod in all three regions, plus dev and stage in Ohio). The</t>
  </si>
  <si>
    <t xml:space="preserve">Drivers tab shows this count, and control plane, load balancers, NAT, and WAF all scale with it. Production</t>
  </si>
  <si>
    <t xml:space="preserve">worker nodes scale with DAU from a four-node HA floor (m5.xlarge, us-east-2, 25% Savings Plan), with dev and</t>
  </si>
  <si>
    <t xml:space="preserve">stage at half. Observability (CloudWatch, Prometheus, Grafana, X-Ray) has a fixed base per environment plus a variable component</t>
  </si>
  <si>
    <t xml:space="preserve">that grows with API traffic. The platform baseline (ECR, Secrets, CI, bastion) stays fixed. An explicit</t>
  </si>
  <si>
    <t xml:space="preserve">reserved/standby line sets how much launch-readiness and DR headroom you hold ahead of demand.</t>
  </si>
  <si>
    <t xml:space="preserve">Security  (Cognito + WAF)</t>
  </si>
  <si>
    <t xml:space="preserve">Cognito is billed on monthly active users using AWS volume tiers (first 50,000 free, then a declining rate</t>
  </si>
  <si>
    <t xml:space="preserve">from $0.0055 down to $0.0025 per MAU), so it tracks the MAU line and becomes the largest non-AI line at five</t>
  </si>
  <si>
    <t xml:space="preserve">million users. WAF runs a web ACL per environment plus a per-request inspection fee. Both price the same</t>
  </si>
  <si>
    <t xml:space="preserve">across regions, so this pillar carries no regional premium.</t>
  </si>
  <si>
    <t xml:space="preserve">Networking  (ALB + data transfer)</t>
  </si>
  <si>
    <t xml:space="preserve">Load balancers and NAT gateways run per environment per region, a fixed baseline that grows as regions come</t>
  </si>
  <si>
    <t xml:space="preserve">online. The variable half is outbound data transfer from channel browsing, which becomes the largest</t>
  </si>
  <si>
    <t xml:space="preserve">networking line at scale; the 'media views per DAU per day' input moves it most, and Singapore egress is the</t>
  </si>
  <si>
    <t xml:space="preserve">priciest of the three regions. Media delivery does not route through NAT.</t>
  </si>
  <si>
    <t xml:space="preserve">Database  (DynamoDB + Aurora)</t>
  </si>
  <si>
    <t xml:space="preserve">Aurora Serverless v2 is the relational system of record; production ACUs scale with DAU above a ten-ACU HA</t>
  </si>
  <si>
    <t xml:space="preserve">floor, while dev and stage scale to a low idle floor as Serverless v2 is designed to. ElastiCache (Redis)</t>
  </si>
  <si>
    <t xml:space="preserve">and OpenSearch (search plus log analytics) run as always-on baselines across all environments. DynamoDB</t>
  </si>
  <si>
    <t xml:space="preserve">carries high-velocity items on-demand and stays small. Aurora plus the cache and search baselines make this</t>
  </si>
  <si>
    <t xml:space="preserve">the second-largest floor at launch.</t>
  </si>
  <si>
    <t xml:space="preserve">Storage  (S3)</t>
  </si>
  <si>
    <t xml:space="preserve">Cumulative media: every drawing, voice clip, and text response is kept, so the line only climbs, even if</t>
  </si>
  <si>
    <t xml:space="preserve">DAU flattens. The model uses an effective rate that blends S3 Standard ($0.023/GB in us-east-2) with</t>
  </si>
  <si>
    <t xml:space="preserve">lifecycle tiering of aged media to Infrequent Access. Request charges (PUT on submit, GET on view) are a</t>
  </si>
  <si>
    <t xml:space="preserve">second, smaller component.</t>
  </si>
  <si>
    <t xml:space="preserve">Data Lake / ML research</t>
  </si>
  <si>
    <t xml:space="preserve">Centralized in the primary region (us-east-2), not replicated regionally. Lake storage grows with the user</t>
  </si>
  <si>
    <t xml:space="preserve">base; cost also tracks researcher headcount through SageMaker notebooks and Athena query scan, plus GPU</t>
  </si>
  <si>
    <t xml:space="preserve">hours for model training. The workstream is gated to start in the month set on the Assumptions tab (default</t>
  </si>
  <si>
    <t xml:space="preserve">month 13). The compute is modest; the consent and de-identification work behind it is not, and sits outside</t>
  </si>
  <si>
    <t xml:space="preserve">this model.</t>
  </si>
  <si>
    <t xml:space="preserve">Regional deployment</t>
  </si>
  <si>
    <t xml:space="preserve">The model launches in us-east-2 (Ohio) and expands production to two more regions. Each one adds cost two</t>
  </si>
  <si>
    <t xml:space="preserve">ways: a duplicated production footprint (an extra cluster, load balancers, NAT, and WAF) and a price premium</t>
  </si>
  <si>
    <t xml:space="preserve">on the traffic served there. Dev and stage stay in Ohio. Start months and premiums are editable on the</t>
  </si>
  <si>
    <t xml:space="preserve">Assumptions tab.</t>
  </si>
  <si>
    <t xml:space="preserve">Region</t>
  </si>
  <si>
    <t xml:space="preserve">Role</t>
  </si>
  <si>
    <t xml:space="preserve">Live from</t>
  </si>
  <si>
    <t xml:space="preserve">Premium vs Ohio</t>
  </si>
  <si>
    <t xml:space="preserve">us-east-2 (Ohio)</t>
  </si>
  <si>
    <t xml:space="preserve">Primary</t>
  </si>
  <si>
    <t xml:space="preserve">Month 1 (launch)</t>
  </si>
  <si>
    <t xml:space="preserve">baseline</t>
  </si>
  <si>
    <t xml:space="preserve">eu-west-2 (London)</t>
  </si>
  <si>
    <t xml:space="preserve">European expansion</t>
  </si>
  <si>
    <t xml:space="preserve">Year 2 (month 13)</t>
  </si>
  <si>
    <t xml:space="preserve">~8%</t>
  </si>
  <si>
    <t xml:space="preserve">ap-southeast-1 (Singapore)</t>
  </si>
  <si>
    <t xml:space="preserve">Asian market</t>
  </si>
  <si>
    <t xml:space="preserve">Year 2.5 (month 25)</t>
  </si>
  <si>
    <t xml:space="preserve">~18%</t>
  </si>
  <si>
    <t xml:space="preserve">Premiums follow AWS regional pricing: London a few points above Ohio, Asia Pacific roughly 20-30% on compute</t>
  </si>
  <si>
    <t xml:space="preserve">and higher on egress. Only the share of traffic in a region carries its premium, so the blended effect on</t>
  </si>
  <si>
    <t xml:space="preserve">total cost is a few percent, not the headline premium. The research data lake stays in Ohio and is not</t>
  </si>
  <si>
    <t xml:space="preserve">uplifted.</t>
  </si>
  <si>
    <t xml:space="preserve">Scribl D2C  -  2.5-Year Infrastructure TCO</t>
  </si>
  <si>
    <t xml:space="preserve">List-price cost, no partner discounts. Two views: monthly run rate (how cost scales) and cumulative spend (what you budget).</t>
  </si>
  <si>
    <t xml:space="preserve">Monthly run rate by pillar ($/mo)</t>
  </si>
  <si>
    <t xml:space="preserve">Year 1
avg/mo</t>
  </si>
  <si>
    <t xml:space="preserve">Year 2
avg/mo</t>
  </si>
  <si>
    <t xml:space="preserve">Yr3 H1
avg/mo</t>
  </si>
  <si>
    <t xml:space="preserve">At scale
(M30)</t>
  </si>
  <si>
    <t xml:space="preserve">Compute (EKS)</t>
  </si>
  <si>
    <t xml:space="preserve">Security (Cognito, WAF)</t>
  </si>
  <si>
    <t xml:space="preserve">Networking (ALB, transfer)</t>
  </si>
  <si>
    <t xml:space="preserve">Database (DynamoDB, Aurora)</t>
  </si>
  <si>
    <t xml:space="preserve">Storage (S3)</t>
  </si>
  <si>
    <t xml:space="preserve">AI App (Bedrock + Claude)</t>
  </si>
  <si>
    <t xml:space="preserve">Total run rate ($/mo)</t>
  </si>
  <si>
    <t xml:space="preserve">Cumulative spend ($)</t>
  </si>
  <si>
    <t xml:space="preserve">Year 1
(12 mo)</t>
  </si>
  <si>
    <t xml:space="preserve">Year 2
(12 mo)</t>
  </si>
  <si>
    <t xml:space="preserve">Yr3 H1
(6 mo)</t>
  </si>
  <si>
    <t xml:space="preserve">30-mo
total</t>
  </si>
  <si>
    <t xml:space="preserve">Total cost (TCO)</t>
  </si>
  <si>
    <t xml:space="preserve">Unit economics</t>
  </si>
  <si>
    <t xml:space="preserve">Registered users at period end</t>
  </si>
  <si>
    <t xml:space="preserve">Cost per registered user (period)</t>
  </si>
  <si>
    <t xml:space="preserve">Submissions in period</t>
  </si>
  <si>
    <t xml:space="preserve">Cost per submission</t>
  </si>
  <si>
    <t xml:space="preserve">Headline</t>
  </si>
  <si>
    <t xml:space="preserve">30-month TCO</t>
  </si>
  <si>
    <t xml:space="preserve">AI App as % of TCO</t>
  </si>
  <si>
    <t xml:space="preserve">Run rate at launch (M1) / at scale (M30)</t>
  </si>
  <si>
    <t xml:space="preserve">Scribl D2C  |  Infrastructure TCO  |  Assumptions</t>
  </si>
  <si>
    <t xml:space="preserve">All blue cells are editable inputs. Every cost on the Costs tab is driven from here. 30-month horizon (Oct 2026 - Mar 2029).</t>
  </si>
  <si>
    <t xml:space="preserve">Engagement</t>
  </si>
  <si>
    <t xml:space="preserve">DAU as % of registered users</t>
  </si>
  <si>
    <t xml:space="preserve">Mature daily-habit apps run 20-30%. Largest single swing factor.</t>
  </si>
  <si>
    <t xml:space="preserve">MAU as % of registered users</t>
  </si>
  <si>
    <t xml:space="preserve">Drives Cognito monthly-active billing.</t>
  </si>
  <si>
    <t xml:space="preserve">Prompt completion rate (of DAU)</t>
  </si>
  <si>
    <t xml:space="preserve">PRFAQ target &gt;=70%. Each completion = 1 submission + AI calls.</t>
  </si>
  <si>
    <t xml:space="preserve">Environments  (dev, stage, prod)</t>
  </si>
  <si>
    <t xml:space="preserve">Number of environments</t>
  </si>
  <si>
    <t xml:space="preserve">dev, stage, prod. Baselines apply to all; only prod scales with users.</t>
  </si>
  <si>
    <t xml:space="preserve">Non-prod size vs prod baseline</t>
  </si>
  <si>
    <t xml:space="preserve">Each non-prod env at this fraction of prod's baseline.</t>
  </si>
  <si>
    <t xml:space="preserve">Submission mix  (should sum to 100%)</t>
  </si>
  <si>
    <t xml:space="preserve">Drawing share of submissions</t>
  </si>
  <si>
    <t xml:space="preserve">Only drawings trigger the Sonnet vision response.</t>
  </si>
  <si>
    <t xml:space="preserve">Text share of submissions</t>
  </si>
  <si>
    <t xml:space="preserve">Voice share of submissions</t>
  </si>
  <si>
    <t xml:space="preserve">Voice transcribed on-device; no audio sent to Claude.</t>
  </si>
  <si>
    <t xml:space="preserve">Object sizes &amp; media traffic</t>
  </si>
  <si>
    <t xml:space="preserve">Avg drawing object size (KB)</t>
  </si>
  <si>
    <t xml:space="preserve">PNG from finger-on-glass canvas.</t>
  </si>
  <si>
    <t xml:space="preserve">Avg voice object size (KB)</t>
  </si>
  <si>
    <t xml:space="preserve">~30s clip.</t>
  </si>
  <si>
    <t xml:space="preserve">Avg text object size (KB)</t>
  </si>
  <si>
    <t xml:space="preserve">Avg served object size (KB)</t>
  </si>
  <si>
    <t xml:space="preserve">Blended size streamed when viewing channels.</t>
  </si>
  <si>
    <t xml:space="preserve">Media views per DAU per day</t>
  </si>
  <si>
    <t xml:space="preserve">Channel browsing after submit-to-unlock. Drives egress.</t>
  </si>
  <si>
    <t xml:space="preserve">Request volume</t>
  </si>
  <si>
    <t xml:space="preserve">API requests per DAU per day</t>
  </si>
  <si>
    <t xml:space="preserve">Drives WAF + ALB request charges.</t>
  </si>
  <si>
    <t xml:space="preserve">S3 GET requests per DAU per day</t>
  </si>
  <si>
    <t xml:space="preserve">AI - token counts per call</t>
  </si>
  <si>
    <t xml:space="preserve">Moderation input tokens</t>
  </si>
  <si>
    <t xml:space="preserve">Haiku on every submission (text + image checks).</t>
  </si>
  <si>
    <t xml:space="preserve">Moderation output tokens</t>
  </si>
  <si>
    <t xml:space="preserve">Vision response input tokens</t>
  </si>
  <si>
    <t xml:space="preserve">Image (~1.6k) + prompt context. Sonnet, per drawing.</t>
  </si>
  <si>
    <t xml:space="preserve">Vision response output tokens</t>
  </si>
  <si>
    <t xml:space="preserve">Prompt-gen calls per day (universal)</t>
  </si>
  <si>
    <t xml:space="preserve">ONE prompt for everyone + editorial A/B buffer. Opus.</t>
  </si>
  <si>
    <t xml:space="preserve">Prompt-gen input tokens</t>
  </si>
  <si>
    <t xml:space="preserve">Prompt-gen output tokens</t>
  </si>
  <si>
    <t xml:space="preserve">AI - Bedrock/Claude pricing  ($ / million tokens)</t>
  </si>
  <si>
    <t xml:space="preserve">Haiku 4.5 input</t>
  </si>
  <si>
    <t xml:space="preserve">Source: Anthropic pricing, Jun 2026.</t>
  </si>
  <si>
    <t xml:space="preserve">Haiku 4.5 output</t>
  </si>
  <si>
    <t xml:space="preserve">Sonnet 4.6 input</t>
  </si>
  <si>
    <t xml:space="preserve">Sonnet 4.6 output</t>
  </si>
  <si>
    <t xml:space="preserve">Opus 4.8 input</t>
  </si>
  <si>
    <t xml:space="preserve">Opus 4.8 output</t>
  </si>
  <si>
    <t xml:space="preserve">Prompt-caching discount on input</t>
  </si>
  <si>
    <t xml:space="preserve">Applies to MODERATION only (real-time path); stable policy prompt cached. Image tokens are not cacheable.</t>
  </si>
  <si>
    <t xml:space="preserve">Batch discount on vision calls</t>
  </si>
  <si>
    <t xml:space="preserve">Vision runs async (submit never blocks) -&gt; Bedrock batch, 50% off. Batch path excludes prompt caching, so C39 does not apply to vision.</t>
  </si>
  <si>
    <t xml:space="preserve">Bedrock price adjustment vs API</t>
  </si>
  <si>
    <t xml:space="preserve">Set if Bedrock token rates differ from first-party.</t>
  </si>
  <si>
    <t xml:space="preserve">Compute - Amazon EKS</t>
  </si>
  <si>
    <t xml:space="preserve">Control-plane $ per hour</t>
  </si>
  <si>
    <t xml:space="preserve">DAU served per worker node</t>
  </si>
  <si>
    <t xml:space="preserve">Prod baseline worker nodes</t>
  </si>
  <si>
    <t xml:space="preserve">HA prod floor; nodes scale with DAU above this.</t>
  </si>
  <si>
    <t xml:space="preserve">Worker node $ per hour (m5.xlarge)</t>
  </si>
  <si>
    <t xml:space="preserve">Source: EC2 m5.xlarge us-east-2 = $140.16/mo, Jun 2026.</t>
  </si>
  <si>
    <t xml:space="preserve">Compute Savings Plan discount</t>
  </si>
  <si>
    <t xml:space="preserve">1-yr commitment on steady-state nodes.</t>
  </si>
  <si>
    <t xml:space="preserve">Observability - CloudWatch prod floor $/mo</t>
  </si>
  <si>
    <t xml:space="preserve">Dashboards, alarms, Container Insights, base log retention. Traffic-driven log/metric/trace volume is the variable line below.</t>
  </si>
  <si>
    <t xml:space="preserve">Observability CloudWatch/X-Ray $ per million API requests</t>
  </si>
  <si>
    <t xml:space="preserve">Logs + metrics + sampled traces; scales with traffic.</t>
  </si>
  <si>
    <t xml:space="preserve">Platform/mgmt baseline $/mo (prod)</t>
  </si>
  <si>
    <t xml:space="preserve">ECR, Secrets, KMS, CI runners, bastion.</t>
  </si>
  <si>
    <t xml:space="preserve">Reserved/standby capacity $/mo (prod)</t>
  </si>
  <si>
    <t xml:space="preserve">Explicit launch-readiness + DR headroom. Set 0 for pure demand-driven floor.</t>
  </si>
  <si>
    <t xml:space="preserve">Security - Cognito + WAF</t>
  </si>
  <si>
    <t xml:space="preserve">Cognito free MAU</t>
  </si>
  <si>
    <t xml:space="preserve">Cognito $/MAU  tier 50k-100k</t>
  </si>
  <si>
    <t xml:space="preserve">AWS standard volume tiers.</t>
  </si>
  <si>
    <t xml:space="preserve">Cognito $/MAU  tier 100k-1M</t>
  </si>
  <si>
    <t xml:space="preserve">Cognito $/MAU  tier 1M-10M</t>
  </si>
  <si>
    <t xml:space="preserve">Cognito $/MAU  tier 10M+</t>
  </si>
  <si>
    <t xml:space="preserve">WAF base $ per month (ACL + rules)</t>
  </si>
  <si>
    <t xml:space="preserve">WAF $ per million requests</t>
  </si>
  <si>
    <t xml:space="preserve">Networking - ALB + data transfer</t>
  </si>
  <si>
    <t xml:space="preserve">ALB count</t>
  </si>
  <si>
    <t xml:space="preserve">ALB $ per hour</t>
  </si>
  <si>
    <t xml:space="preserve">ALB LCU $ per million requests</t>
  </si>
  <si>
    <t xml:space="preserve">Approximates LCU charge from request volume.</t>
  </si>
  <si>
    <t xml:space="preserve">Data transfer out $ per GB (blended)</t>
  </si>
  <si>
    <t xml:space="preserve">us-east-2 egress + CloudFront, blended across volume tiers.</t>
  </si>
  <si>
    <t xml:space="preserve">NAT gateways per env per region</t>
  </si>
  <si>
    <t xml:space="preserve">NAT gateway $ per hour</t>
  </si>
  <si>
    <t xml:space="preserve">$32.85/mo each; media egress does not route through NAT.</t>
  </si>
  <si>
    <t xml:space="preserve">Database - Aurora Serverless v2</t>
  </si>
  <si>
    <t xml:space="preserve">DAU served per ACU</t>
  </si>
  <si>
    <t xml:space="preserve">Prod baseline ACUs</t>
  </si>
  <si>
    <t xml:space="preserve">HA prod floor.</t>
  </si>
  <si>
    <t xml:space="preserve">Non-prod ACUs per env (idle)</t>
  </si>
  <si>
    <t xml:space="preserve">Serverless v2 scales dev/stage to a low idle floor.</t>
  </si>
  <si>
    <t xml:space="preserve">ACU $ per hour</t>
  </si>
  <si>
    <t xml:space="preserve">Aurora Serverless v2, us-east-2.</t>
  </si>
  <si>
    <t xml:space="preserve">Aurora storage $ per GB-month</t>
  </si>
  <si>
    <t xml:space="preserve">Aurora GB per 1,000 registered</t>
  </si>
  <si>
    <t xml:space="preserve">Relational metadata: profiles, channels, memberships, streaks.</t>
  </si>
  <si>
    <t xml:space="preserve">Database - DynamoDB (on-demand)</t>
  </si>
  <si>
    <t xml:space="preserve">Write request units per submission</t>
  </si>
  <si>
    <t xml:space="preserve">Submission + channel fan-out + streak + index.</t>
  </si>
  <si>
    <t xml:space="preserve">Read request units per DAU per day</t>
  </si>
  <si>
    <t xml:space="preserve">DynamoDB $ per million WRU</t>
  </si>
  <si>
    <t xml:space="preserve">DynamoDB $ per million RRU</t>
  </si>
  <si>
    <t xml:space="preserve">DynamoDB storage $ per GB-month</t>
  </si>
  <si>
    <t xml:space="preserve">DynamoDB GB per 1,000 registered</t>
  </si>
  <si>
    <t xml:space="preserve">ElastiCache baseline $/mo (prod)</t>
  </si>
  <si>
    <t xml:space="preserve">Redis, multi-node HA.</t>
  </si>
  <si>
    <t xml:space="preserve">OpenSearch baseline $/mo (prod)</t>
  </si>
  <si>
    <t xml:space="preserve">Content/user search + log analytics.</t>
  </si>
  <si>
    <t xml:space="preserve">Storage - Amazon S3</t>
  </si>
  <si>
    <t xml:space="preserve">Effective S3 $ per GB-month</t>
  </si>
  <si>
    <t xml:space="preserve">us-east-2 Standard $0.023 blended with lifecycle tiering of aged media.</t>
  </si>
  <si>
    <t xml:space="preserve">S3 PUT $ per 1,000 requests</t>
  </si>
  <si>
    <t xml:space="preserve">S3 GET $ per 1,000 requests</t>
  </si>
  <si>
    <t xml:space="preserve">Data Lake / ML Research  (mental-health outcomes)</t>
  </si>
  <si>
    <t xml:space="preserve">Start month (1-30)</t>
  </si>
  <si>
    <t xml:space="preserve">Research workstream kicks in after Year 1.</t>
  </si>
  <si>
    <t xml:space="preserve">Lake storage GB per 1,000 registered</t>
  </si>
  <si>
    <t xml:space="preserve">De-identified curated + derived + research datasets.</t>
  </si>
  <si>
    <t xml:space="preserve">Lake storage $ per GB-month</t>
  </si>
  <si>
    <t xml:space="preserve">Glue/ETL $ per million submissions</t>
  </si>
  <si>
    <t xml:space="preserve">De-identification + curation pipeline.</t>
  </si>
  <si>
    <t xml:space="preserve">ETL base $ per month</t>
  </si>
  <si>
    <t xml:space="preserve">Athena $ per TB scanned</t>
  </si>
  <si>
    <t xml:space="preserve">TB scanned per researcher per month</t>
  </si>
  <si>
    <t xml:space="preserve">SageMaker notebook $ per researcher/mo</t>
  </si>
  <si>
    <t xml:space="preserve">Training GPU $ per hour (ml.g5.2xlarge)</t>
  </si>
  <si>
    <t xml:space="preserve">Training GPU hours per researcher/mo</t>
  </si>
  <si>
    <t xml:space="preserve">Research data-sharing egress GB/mo</t>
  </si>
  <si>
    <t xml:space="preserve">Published/shared datasets for outside researchers.</t>
  </si>
  <si>
    <t xml:space="preserve">London (eu-west-2) start month</t>
  </si>
  <si>
    <t xml:space="preserve">European expansion. Year 2.</t>
  </si>
  <si>
    <t xml:space="preserve">Singapore (ap-southeast-1) start month</t>
  </si>
  <si>
    <t xml:space="preserve">Asian market. Year 2.5.</t>
  </si>
  <si>
    <t xml:space="preserve">London price premium vs us-east-2</t>
  </si>
  <si>
    <t xml:space="preserve">eu-west-2 runs a few points above Ohio.</t>
  </si>
  <si>
    <t xml:space="preserve">Singapore price premium vs us-east-2</t>
  </si>
  <si>
    <t xml:space="preserve">ap-southeast-1: compute +20-30%, egress higher.</t>
  </si>
  <si>
    <t xml:space="preserve">Traffic share in London once live</t>
  </si>
  <si>
    <t xml:space="preserve">Traffic share in Singapore once live</t>
  </si>
  <si>
    <t xml:space="preserve">Observability platform  (added)</t>
  </si>
  <si>
    <t xml:space="preserve">Managed Prometheus prod floor $/mo</t>
  </si>
  <si>
    <t xml:space="preserve">AMP ingestion + storage floor for the prod cluster; sample-volume growth is the per-request line below.</t>
  </si>
  <si>
    <t xml:space="preserve">Managed Prometheus $ per million API requests</t>
  </si>
  <si>
    <t xml:space="preserve">AMP sample/series volume tracks workload; proxied off API traffic.</t>
  </si>
  <si>
    <t xml:space="preserve">Amazon Managed Grafana $/mo (workspace, per-seat)</t>
  </si>
  <si>
    <t xml:space="preserve">~5 editors @ $9 + ~15 viewers @ $5; one shared workspace, flat across regions.</t>
  </si>
  <si>
    <t xml:space="preserve">Non-prod observability factor (dev+stage vs prod)</t>
  </si>
  <si>
    <t xml:space="preserve">Dev and stage run light observability (~20% of prod), not the 50%-per-env weight applied to compute.</t>
  </si>
  <si>
    <t xml:space="preserve">Volume Drivers</t>
  </si>
  <si>
    <t xml:space="preserve">Registered-user curve and research headcount are blue inputs; everything else is derived.</t>
  </si>
  <si>
    <t xml:space="preserve">Month #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</si>
  <si>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</si>
  <si>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</si>
  <si>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</si>
  <si>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</si>
  <si>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</si>
  <si>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</si>
  <si>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</si>
  <si>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</si>
  <si>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</si>
  <si>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</si>
  <si>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</si>
  <si>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</si>
  <si>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</si>
  <si>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</si>
  <si>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</si>
  <si>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</si>
  <si>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</si>
  <si>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</si>
  <si>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</si>
  <si>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</si>
  <si>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</si>
  <si>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</si>
  <si>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</si>
  <si>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</si>
  <si>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</si>
  <si>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</si>
  <si>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</si>
  <si>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</si>
  <si>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</si>
  <si>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</si>
  <si>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Calendar</t>
  </si>
  <si>
    <t xml:space="preserve">Registered users</t>
  </si>
  <si>
    <t xml:space="preserve">Daily active users (DAU)</t>
  </si>
  <si>
    <t xml:space="preserve">Monthly active users (MAU)</t>
  </si>
  <si>
    <t xml:space="preserve">Submissions per day</t>
  </si>
  <si>
    <t xml:space="preserve">Submissions per month</t>
  </si>
  <si>
    <t xml:space="preserve">  Drawing submissions / mo</t>
  </si>
  <si>
    <t xml:space="preserve">  Text submissions / mo</t>
  </si>
  <si>
    <t xml:space="preserve">  Voice submissions / mo</t>
  </si>
  <si>
    <t xml:space="preserve">Storage added (GB)</t>
  </si>
  <si>
    <t xml:space="preserve">Storage cumulative (GB)</t>
  </si>
  <si>
    <t xml:space="preserve">Media egress (GB / mo)</t>
  </si>
  <si>
    <t xml:space="preserve">API requests (millions / mo)</t>
  </si>
  <si>
    <t xml:space="preserve">Research data scientists (FTE)</t>
  </si>
  <si>
    <t xml:space="preserve">Training GPU hours / mo</t>
  </si>
  <si>
    <t xml:space="preserve">Active AWS regions</t>
  </si>
  <si>
    <t xml:space="preserve">Regional price multiplier</t>
  </si>
  <si>
    <t xml:space="preserve">Environment weight</t>
  </si>
  <si>
    <t xml:space="preserve">Env-region deployments (clusters)</t>
  </si>
  <si>
    <t xml:space="preserve">Monthly Cost Build ($)</t>
  </si>
  <si>
    <t xml:space="preserve">Black = calculation. Subtotals by consumption pillar. Figures are list price (no partner discounts).</t>
  </si>
  <si>
    <t xml:space="preserve">Month</t>
  </si>
  <si>
    <t xml:space="preserve">COMPUTE  -  Amazon EKS</t>
  </si>
  <si>
    <t xml:space="preserve">EKS control plane (per env, per region)</t>
  </si>
  <si>
    <t xml:space="preserve">EKS worker nodes (prod scales; dev/stage baseline)</t>
  </si>
  <si>
    <t xml:space="preserve">Observability (CloudWatch, Prometheus, Grafana, X-Ray; all envs)</t>
  </si>
  <si>
    <t xml:space="preserve">Platform/management baseline (all envs)</t>
  </si>
  <si>
    <t xml:space="preserve">Reserved/standby capacity (launch readiness + DR)</t>
  </si>
  <si>
    <t xml:space="preserve">Compute subtotal</t>
  </si>
  <si>
    <t xml:space="preserve">SECURITY  -  Cognito + WAF</t>
  </si>
  <si>
    <t xml:space="preserve">Cognito (monthly active users, tiered)</t>
  </si>
  <si>
    <t xml:space="preserve">WAF (ACL per env + request inspection)</t>
  </si>
  <si>
    <t xml:space="preserve">Security subtotal</t>
  </si>
  <si>
    <t xml:space="preserve">NETWORKING  -  ALB + data transfer</t>
  </si>
  <si>
    <t xml:space="preserve">ALB (per env, per region)</t>
  </si>
  <si>
    <t xml:space="preserve">NAT gateways (per env, per region)</t>
  </si>
  <si>
    <t xml:space="preserve">ALB LCU (request volume)</t>
  </si>
  <si>
    <t xml:space="preserve">Data transfer out</t>
  </si>
  <si>
    <t xml:space="preserve">Networking subtotal</t>
  </si>
  <si>
    <t xml:space="preserve">DATABASE  -  DynamoDB + Aurora</t>
  </si>
  <si>
    <t xml:space="preserve">Aurora compute (prod scales; dev/stage baseline)</t>
  </si>
  <si>
    <t xml:space="preserve">Aurora storage</t>
  </si>
  <si>
    <t xml:space="preserve">ElastiCache (Redis, all envs)</t>
  </si>
  <si>
    <t xml:space="preserve">OpenSearch (search + logs, all envs)</t>
  </si>
  <si>
    <t xml:space="preserve">DynamoDB writes</t>
  </si>
  <si>
    <t xml:space="preserve">DynamoDB reads</t>
  </si>
  <si>
    <t xml:space="preserve">DynamoDB storage</t>
  </si>
  <si>
    <t xml:space="preserve">Database subtotal</t>
  </si>
  <si>
    <t xml:space="preserve">STORAGE  -  Amazon S3</t>
  </si>
  <si>
    <t xml:space="preserve">S3 storage (cumulative media)</t>
  </si>
  <si>
    <t xml:space="preserve">S3 requests (PUT + GET)</t>
  </si>
  <si>
    <t xml:space="preserve">Storage subtotal</t>
  </si>
  <si>
    <t xml:space="preserve">AI APP  -  Bedrock + Claude</t>
  </si>
  <si>
    <t xml:space="preserve">Moderation  (Haiku, every submission)</t>
  </si>
  <si>
    <t xml:space="preserve">Vision response  (Sonnet, per drawing)</t>
  </si>
  <si>
    <t xml:space="preserve">Daily prompt generation  (Opus, universal)</t>
  </si>
  <si>
    <t xml:space="preserve">AI App subtotal</t>
  </si>
  <si>
    <t xml:space="preserve">DATA LAKE / ML RESEARCH  (starts after Year 1)</t>
  </si>
  <si>
    <t xml:space="preserve">Lake storage (de-identified datasets)</t>
  </si>
  <si>
    <t xml:space="preserve">Glue / ETL (de-identification + curation)</t>
  </si>
  <si>
    <t xml:space="preserve">Athena (research queries)</t>
  </si>
  <si>
    <t xml:space="preserve">SageMaker notebooks (researchers)</t>
  </si>
  <si>
    <t xml:space="preserve">SageMaker training (GPU)</t>
  </si>
  <si>
    <t xml:space="preserve">Research data-sharing egress</t>
  </si>
  <si>
    <t xml:space="preserve">Data Lake / ML subtotal</t>
  </si>
  <si>
    <t xml:space="preserve">TOTAL MONTHLY COST</t>
  </si>
  <si>
    <t xml:space="preserve">Cumulative cost (TCO)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</si>
</sst>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#,##0;\(#,##0\);\-"/>
    <numFmt numFmtId="167" formatCode="\$#,##0.00;&quot;($&quot;#,##0.00\);\-"/>
    <numFmt numFmtId="168" formatCode="\$#,##0.0000"/>
    <numFmt numFmtId="169" formatCode="0.0%"/>
    <numFmt numFmtId="170" formatCode="#,##0.0;\(#,##0.0\);\-"/>
    <numFmt numFmtId="171" formatCode="0%"/>
    <numFmt numFmtId="172" formatCode="mmm\-yy"/>
    <numFmt numFmtId="173" formatCode="0.000"/>
    <numFmt numFmtId="174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F2E"/>
      <name val="Arial"/>
      <family val="0"/>
      <charset val="1"/>
    </font>
    <font>
      <b val="true"/>
      <sz val="11"/>
      <color rgb="FF693AF4"/>
      <name val="Arial"/>
      <family val="0"/>
      <charset val="1"/>
    </font>
    <font>
      <sz val="10"/>
      <color rgb="FF2D3344"/>
      <name val="Arial"/>
      <family val="0"/>
      <charset val="1"/>
    </font>
    <font>
      <b val="true"/>
      <sz val="10"/>
      <color rgb="FF1A1F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36B82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693AF4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93AF4"/>
        <bgColor rgb="FF3366FF"/>
      </patternFill>
    </fill>
    <fill>
      <patternFill patternType="solid">
        <fgColor rgb="FFE7DCFB"/>
        <bgColor rgb="FFD5D9E4"/>
      </patternFill>
    </fill>
    <fill>
      <patternFill patternType="solid">
        <fgColor rgb="FF2D3344"/>
        <bgColor rgb="FF1A1F2E"/>
      </patternFill>
    </fill>
    <fill>
      <patternFill patternType="solid">
        <fgColor rgb="FFFFF3BF"/>
        <bgColor rgb="FFFFFF99"/>
      </patternFill>
    </fill>
    <fill>
      <patternFill patternType="solid">
        <fgColor rgb="FFEAECF2"/>
        <bgColor rgb="FFE7DC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9E4"/>
      </left>
      <right style="thin">
        <color rgb="FFD5D9E4"/>
      </right>
      <top style="thin">
        <color rgb="FFD5D9E4"/>
      </top>
      <bottom style="thin">
        <color rgb="FFD5D9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BF"/>
      <rgbColor rgb="FFEAECF2"/>
      <rgbColor rgb="FF660066"/>
      <rgbColor rgb="FFFF8080"/>
      <rgbColor rgb="FF0066CC"/>
      <rgbColor rgb="FFD5D9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DC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6B82"/>
      <rgbColor rgb="FF969696"/>
      <rgbColor rgb="FF003366"/>
      <rgbColor rgb="FF339966"/>
      <rgbColor rgb="FF003300"/>
      <rgbColor rgb="FF1A1F2E"/>
      <rgbColor rgb="FF993300"/>
      <rgbColor rgb="FF993366"/>
      <rgbColor rgb="FF693AF4"/>
      <rgbColor rgb="FF2D33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18"/>
    <col collapsed="false" customWidth="true" hidden="false" outlineLevel="0" max="6" min="6" style="1" width="14"/>
  </cols>
  <sheetData>
    <row r="1" customFormat="false" ht="19.5" hidden="false" customHeight="true" outlineLevel="0" collapsed="false">
      <c r="B1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5" customFormat="false" ht="15" hidden="false" customHeight="true" outlineLevel="0" collapsed="false">
      <c r="B5" s="4" t="s">
        <v>3</v>
      </c>
    </row>
    <row r="6" customFormat="false" ht="15" hidden="false" customHeight="true" outlineLevel="0" collapsed="false">
      <c r="B6" s="4" t="s">
        <v>4</v>
      </c>
    </row>
    <row r="7" customFormat="false" ht="15" hidden="false" customHeight="true" outlineLevel="0" collapsed="false">
      <c r="B7" s="4" t="s">
        <v>5</v>
      </c>
    </row>
    <row r="8" customFormat="false" ht="15" hidden="false" customHeight="true" outlineLevel="0" collapsed="false">
      <c r="B8" s="4" t="s">
        <v>6</v>
      </c>
    </row>
    <row r="10" customFormat="false" ht="15" hidden="false" customHeight="true" outlineLevel="0" collapsed="false">
      <c r="B10" s="3" t="s">
        <v>7</v>
      </c>
    </row>
    <row r="11" customFormat="false" ht="15" hidden="false" customHeight="true" outlineLevel="0" collapsed="false">
      <c r="B11" s="4" t="s">
        <v>8</v>
      </c>
    </row>
    <row r="12" customFormat="false" ht="15" hidden="false" customHeight="true" outlineLevel="0" collapsed="false">
      <c r="B12" s="4" t="s">
        <v>9</v>
      </c>
    </row>
    <row r="13" customFormat="false" ht="15" hidden="false" customHeight="true" outlineLevel="0" collapsed="false">
      <c r="B13" s="4" t="s">
        <v>10</v>
      </c>
    </row>
    <row r="14" customFormat="false" ht="15" hidden="false" customHeight="true" outlineLevel="0" collapsed="false">
      <c r="B14" s="4" t="s">
        <v>11</v>
      </c>
    </row>
    <row r="15" customFormat="false" ht="15" hidden="false" customHeight="true" outlineLevel="0" collapsed="false">
      <c r="B15" s="4" t="s">
        <v>12</v>
      </c>
    </row>
    <row r="17" customFormat="false" ht="15" hidden="false" customHeight="true" outlineLevel="0" collapsed="false">
      <c r="B17" s="5" t="s">
        <v>13</v>
      </c>
    </row>
    <row r="18" customFormat="false" ht="15" hidden="false" customHeight="true" outlineLevel="0" collapsed="false">
      <c r="B18" s="4" t="s">
        <v>14</v>
      </c>
    </row>
    <row r="19" customFormat="false" ht="15" hidden="false" customHeight="true" outlineLevel="0" collapsed="false">
      <c r="B19" s="4" t="s">
        <v>15</v>
      </c>
    </row>
    <row r="20" customFormat="false" ht="15" hidden="false" customHeight="true" outlineLevel="0" collapsed="false">
      <c r="B20" s="4" t="s">
        <v>16</v>
      </c>
    </row>
    <row r="21" customFormat="false" ht="27.75" hidden="false" customHeight="true" outlineLevel="0" collapsed="false">
      <c r="B21" s="6" t="s">
        <v>17</v>
      </c>
      <c r="C21" s="6" t="s">
        <v>18</v>
      </c>
      <c r="D21" s="6" t="s">
        <v>19</v>
      </c>
      <c r="E21" s="6" t="s">
        <v>20</v>
      </c>
      <c r="F21" s="6" t="s">
        <v>21</v>
      </c>
    </row>
    <row r="22" customFormat="false" ht="30" hidden="false" customHeight="true" outlineLevel="0" collapsed="false">
      <c r="B22" s="7" t="s">
        <v>22</v>
      </c>
      <c r="C22" s="7" t="s">
        <v>23</v>
      </c>
      <c r="D22" s="7" t="s">
        <v>24</v>
      </c>
      <c r="E22" s="7" t="s">
        <v>25</v>
      </c>
      <c r="F22" s="7" t="s">
        <v>26</v>
      </c>
    </row>
    <row r="23" customFormat="false" ht="30" hidden="false" customHeight="true" outlineLevel="0" collapsed="false">
      <c r="B23" s="7" t="s">
        <v>27</v>
      </c>
      <c r="C23" s="7" t="s">
        <v>28</v>
      </c>
      <c r="D23" s="7" t="s">
        <v>29</v>
      </c>
      <c r="E23" s="7" t="s">
        <v>30</v>
      </c>
      <c r="F23" s="7" t="s">
        <v>31</v>
      </c>
    </row>
    <row r="24" customFormat="false" ht="30" hidden="false" customHeight="true" outlineLevel="0" collapsed="false">
      <c r="B24" s="7" t="s">
        <v>32</v>
      </c>
      <c r="C24" s="7" t="s">
        <v>33</v>
      </c>
      <c r="D24" s="7" t="s">
        <v>34</v>
      </c>
      <c r="E24" s="7" t="s">
        <v>35</v>
      </c>
      <c r="F24" s="7" t="s">
        <v>36</v>
      </c>
    </row>
    <row r="25" customFormat="false" ht="30" hidden="false" customHeight="true" outlineLevel="0" collapsed="false">
      <c r="B25" s="8" t="s">
        <v>37</v>
      </c>
      <c r="C25" s="8" t="s">
        <v>38</v>
      </c>
      <c r="D25" s="8" t="s">
        <v>39</v>
      </c>
      <c r="E25" s="8" t="s">
        <v>40</v>
      </c>
      <c r="F25" s="8" t="s">
        <v>40</v>
      </c>
    </row>
    <row r="26" customFormat="false" ht="30" hidden="false" customHeight="true" outlineLevel="0" collapsed="false">
      <c r="B26" s="8" t="s">
        <v>41</v>
      </c>
      <c r="C26" s="8" t="s">
        <v>42</v>
      </c>
      <c r="D26" s="8" t="s">
        <v>43</v>
      </c>
      <c r="E26" s="8" t="s">
        <v>40</v>
      </c>
      <c r="F26" s="8" t="s">
        <v>40</v>
      </c>
    </row>
    <row r="27" customFormat="false" ht="15" hidden="false" customHeight="true" outlineLevel="0" collapsed="false">
      <c r="B27" s="4" t="s">
        <v>44</v>
      </c>
    </row>
    <row r="28" customFormat="false" ht="15" hidden="false" customHeight="true" outlineLevel="0" collapsed="false">
      <c r="B28" s="4" t="s">
        <v>45</v>
      </c>
    </row>
    <row r="30" customFormat="false" ht="15" hidden="false" customHeight="true" outlineLevel="0" collapsed="false">
      <c r="B30" s="5" t="s">
        <v>46</v>
      </c>
    </row>
    <row r="31" customFormat="false" ht="15" hidden="false" customHeight="true" outlineLevel="0" collapsed="false">
      <c r="B31" s="4" t="s">
        <v>47</v>
      </c>
    </row>
    <row r="32" customFormat="false" ht="15" hidden="false" customHeight="true" outlineLevel="0" collapsed="false">
      <c r="B32" s="4" t="s">
        <v>48</v>
      </c>
    </row>
    <row r="33" customFormat="false" ht="15" hidden="false" customHeight="true" outlineLevel="0" collapsed="false">
      <c r="B33" s="4" t="s">
        <v>49</v>
      </c>
    </row>
    <row r="34" customFormat="false" ht="15" hidden="false" customHeight="true" outlineLevel="0" collapsed="false">
      <c r="B34" s="4" t="s">
        <v>50</v>
      </c>
    </row>
    <row r="35" customFormat="false" ht="15" hidden="false" customHeight="true" outlineLevel="0" collapsed="false">
      <c r="B35" s="4" t="s">
        <v>51</v>
      </c>
    </row>
    <row r="36" customFormat="false" ht="15" hidden="false" customHeight="true" outlineLevel="0" collapsed="false">
      <c r="B36" s="4" t="s">
        <v>52</v>
      </c>
    </row>
    <row r="37" customFormat="false" ht="15" hidden="false" customHeight="true" outlineLevel="0" collapsed="false">
      <c r="B37" s="4" t="s">
        <v>53</v>
      </c>
    </row>
    <row r="38" customFormat="false" ht="15" hidden="false" customHeight="true" outlineLevel="0" collapsed="false">
      <c r="B38" s="4" t="s">
        <v>54</v>
      </c>
    </row>
    <row r="40" customFormat="false" ht="15" hidden="false" customHeight="true" outlineLevel="0" collapsed="false">
      <c r="B40" s="5" t="s">
        <v>55</v>
      </c>
    </row>
    <row r="41" customFormat="false" ht="15" hidden="false" customHeight="true" outlineLevel="0" collapsed="false">
      <c r="B41" s="4" t="s">
        <v>56</v>
      </c>
    </row>
    <row r="42" customFormat="false" ht="15" hidden="false" customHeight="true" outlineLevel="0" collapsed="false">
      <c r="B42" s="4" t="s">
        <v>57</v>
      </c>
    </row>
    <row r="43" customFormat="false" ht="15" hidden="false" customHeight="true" outlineLevel="0" collapsed="false">
      <c r="B43" s="4" t="s">
        <v>58</v>
      </c>
    </row>
    <row r="44" customFormat="false" ht="15" hidden="false" customHeight="true" outlineLevel="0" collapsed="false">
      <c r="B44" s="4" t="s">
        <v>59</v>
      </c>
    </row>
    <row r="46" customFormat="false" ht="15" hidden="false" customHeight="true" outlineLevel="0" collapsed="false">
      <c r="B46" s="5" t="s">
        <v>60</v>
      </c>
    </row>
    <row r="47" customFormat="false" ht="15" hidden="false" customHeight="true" outlineLevel="0" collapsed="false">
      <c r="B47" s="4" t="s">
        <v>61</v>
      </c>
    </row>
    <row r="48" customFormat="false" ht="15" hidden="false" customHeight="true" outlineLevel="0" collapsed="false">
      <c r="B48" s="4" t="s">
        <v>62</v>
      </c>
    </row>
    <row r="49" customFormat="false" ht="15" hidden="false" customHeight="true" outlineLevel="0" collapsed="false">
      <c r="B49" s="4" t="s">
        <v>63</v>
      </c>
    </row>
    <row r="50" customFormat="false" ht="15" hidden="false" customHeight="true" outlineLevel="0" collapsed="false">
      <c r="B50" s="4" t="s">
        <v>64</v>
      </c>
    </row>
    <row r="52" customFormat="false" ht="15" hidden="false" customHeight="true" outlineLevel="0" collapsed="false">
      <c r="B52" s="5" t="s">
        <v>65</v>
      </c>
    </row>
    <row r="53" customFormat="false" ht="15" hidden="false" customHeight="true" outlineLevel="0" collapsed="false">
      <c r="B53" s="4" t="s">
        <v>66</v>
      </c>
    </row>
    <row r="54" customFormat="false" ht="15" hidden="false" customHeight="true" outlineLevel="0" collapsed="false">
      <c r="B54" s="4" t="s">
        <v>67</v>
      </c>
    </row>
    <row r="55" customFormat="false" ht="15" hidden="false" customHeight="true" outlineLevel="0" collapsed="false">
      <c r="B55" s="4" t="s">
        <v>68</v>
      </c>
    </row>
    <row r="56" customFormat="false" ht="15" hidden="false" customHeight="true" outlineLevel="0" collapsed="false">
      <c r="B56" s="4" t="s">
        <v>69</v>
      </c>
    </row>
    <row r="57" customFormat="false" ht="15" hidden="false" customHeight="true" outlineLevel="0" collapsed="false">
      <c r="B57" s="4" t="s">
        <v>70</v>
      </c>
    </row>
    <row r="59" customFormat="false" ht="15" hidden="false" customHeight="true" outlineLevel="0" collapsed="false">
      <c r="B59" s="5" t="s">
        <v>71</v>
      </c>
    </row>
    <row r="60" customFormat="false" ht="15" hidden="false" customHeight="true" outlineLevel="0" collapsed="false">
      <c r="B60" s="4" t="s">
        <v>72</v>
      </c>
    </row>
    <row r="61" customFormat="false" ht="15" hidden="false" customHeight="true" outlineLevel="0" collapsed="false">
      <c r="B61" s="4" t="s">
        <v>73</v>
      </c>
    </row>
    <row r="62" customFormat="false" ht="15" hidden="false" customHeight="true" outlineLevel="0" collapsed="false">
      <c r="B62" s="4" t="s">
        <v>74</v>
      </c>
    </row>
    <row r="63" customFormat="false" ht="15" hidden="false" customHeight="true" outlineLevel="0" collapsed="false">
      <c r="B63" s="4" t="s">
        <v>75</v>
      </c>
    </row>
    <row r="65" customFormat="false" ht="15" hidden="false" customHeight="true" outlineLevel="0" collapsed="false">
      <c r="B65" s="5" t="s">
        <v>76</v>
      </c>
    </row>
    <row r="66" customFormat="false" ht="15" hidden="false" customHeight="true" outlineLevel="0" collapsed="false">
      <c r="B66" s="4" t="s">
        <v>77</v>
      </c>
    </row>
    <row r="67" customFormat="false" ht="15" hidden="false" customHeight="true" outlineLevel="0" collapsed="false">
      <c r="B67" s="4" t="s">
        <v>78</v>
      </c>
    </row>
    <row r="68" customFormat="false" ht="15" hidden="false" customHeight="true" outlineLevel="0" collapsed="false">
      <c r="B68" s="4" t="s">
        <v>79</v>
      </c>
    </row>
    <row r="69" customFormat="false" ht="15" hidden="false" customHeight="true" outlineLevel="0" collapsed="false">
      <c r="B69" s="4" t="s">
        <v>80</v>
      </c>
    </row>
    <row r="70" customFormat="false" ht="15" hidden="false" customHeight="true" outlineLevel="0" collapsed="false">
      <c r="B70" s="4" t="s">
        <v>81</v>
      </c>
    </row>
    <row r="72" customFormat="false" ht="15" hidden="false" customHeight="true" outlineLevel="0" collapsed="false">
      <c r="B72" s="3" t="s">
        <v>82</v>
      </c>
    </row>
    <row r="73" customFormat="false" ht="15" hidden="false" customHeight="true" outlineLevel="0" collapsed="false">
      <c r="B73" s="4" t="s">
        <v>83</v>
      </c>
    </row>
    <row r="74" customFormat="false" ht="15" hidden="false" customHeight="true" outlineLevel="0" collapsed="false">
      <c r="B74" s="4" t="s">
        <v>84</v>
      </c>
    </row>
    <row r="75" customFormat="false" ht="15" hidden="false" customHeight="true" outlineLevel="0" collapsed="false">
      <c r="B75" s="4" t="s">
        <v>85</v>
      </c>
    </row>
    <row r="76" customFormat="false" ht="15" hidden="false" customHeight="true" outlineLevel="0" collapsed="false">
      <c r="B76" s="4" t="s">
        <v>86</v>
      </c>
    </row>
    <row r="77" customFormat="false" ht="27.75" hidden="false" customHeight="true" outlineLevel="0" collapsed="false">
      <c r="B77" s="6" t="s">
        <v>87</v>
      </c>
      <c r="C77" s="6" t="s">
        <v>88</v>
      </c>
      <c r="D77" s="6" t="s">
        <v>89</v>
      </c>
      <c r="E77" s="6" t="s">
        <v>90</v>
      </c>
    </row>
    <row r="78" customFormat="false" ht="30" hidden="false" customHeight="true" outlineLevel="0" collapsed="false">
      <c r="B78" s="7" t="s">
        <v>91</v>
      </c>
      <c r="C78" s="7" t="s">
        <v>92</v>
      </c>
      <c r="D78" s="7" t="s">
        <v>93</v>
      </c>
      <c r="E78" s="7" t="s">
        <v>94</v>
      </c>
    </row>
    <row r="79" customFormat="false" ht="30" hidden="false" customHeight="true" outlineLevel="0" collapsed="false">
      <c r="B79" s="7" t="s">
        <v>95</v>
      </c>
      <c r="C79" s="7" t="s">
        <v>96</v>
      </c>
      <c r="D79" s="7" t="s">
        <v>97</v>
      </c>
      <c r="E79" s="7" t="s">
        <v>98</v>
      </c>
    </row>
    <row r="80" customFormat="false" ht="30" hidden="false" customHeight="true" outlineLevel="0" collapsed="false">
      <c r="B80" s="7" t="s">
        <v>99</v>
      </c>
      <c r="C80" s="7" t="s">
        <v>100</v>
      </c>
      <c r="D80" s="7" t="s">
        <v>101</v>
      </c>
      <c r="E80" s="7" t="s">
        <v>102</v>
      </c>
    </row>
    <row r="81" customFormat="false" ht="15" hidden="false" customHeight="true" outlineLevel="0" collapsed="false">
      <c r="B81" s="4" t="s">
        <v>103</v>
      </c>
    </row>
    <row r="82" customFormat="false" ht="15" hidden="false" customHeight="true" outlineLevel="0" collapsed="false">
      <c r="B82" s="4" t="s">
        <v>104</v>
      </c>
    </row>
    <row r="83" customFormat="false" ht="15" hidden="false" customHeight="true" outlineLevel="0" collapsed="false">
      <c r="B83" s="4" t="s">
        <v>105</v>
      </c>
    </row>
    <row r="84" customFormat="false" ht="15" hidden="false" customHeight="true" outlineLevel="0" collapsed="false">
      <c r="B84" s="4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6" min="3" style="1" width="16"/>
  </cols>
  <sheetData>
    <row r="1" customFormat="false" ht="19.5" hidden="false" customHeight="true" outlineLevel="0" collapsed="false">
      <c r="B1" s="2" t="s">
        <v>107</v>
      </c>
    </row>
    <row r="2" customFormat="false" ht="15" hidden="false" customHeight="true" outlineLevel="0" collapsed="false">
      <c r="B2" s="9" t="s">
        <v>108</v>
      </c>
    </row>
    <row r="4" customFormat="false" ht="23.25" hidden="false" customHeight="true" outlineLevel="0" collapsed="false">
      <c r="B4" s="10" t="s">
        <v>109</v>
      </c>
      <c r="C4" s="11" t="s">
        <v>110</v>
      </c>
      <c r="D4" s="11" t="s">
        <v>111</v>
      </c>
      <c r="E4" s="11" t="s">
        <v>112</v>
      </c>
      <c r="F4" s="11" t="s">
        <v>113</v>
      </c>
    </row>
    <row r="5" customFormat="false" ht="15" hidden="false" customHeight="true" outlineLevel="0" collapsed="false">
      <c r="B5" s="12" t="s">
        <v>114</v>
      </c>
      <c r="C5" s="13" t="n">
        <f aca="false">SUM(Costs!C11:N11)/12</f>
        <v>5011.7565</v>
      </c>
      <c r="D5" s="13" t="n">
        <f aca="false">SUM(Costs!O11:Z11)/12</f>
        <v>8046.299</v>
      </c>
      <c r="E5" s="13" t="n">
        <f aca="false">SUM(Costs!AA11:AF11)/6</f>
        <v>10529.31424</v>
      </c>
      <c r="F5" s="13" t="n">
        <f aca="false">Costs!AF11</f>
        <v>11080.42688</v>
      </c>
    </row>
    <row r="6" customFormat="false" ht="15" hidden="false" customHeight="true" outlineLevel="0" collapsed="false">
      <c r="B6" s="12" t="s">
        <v>115</v>
      </c>
      <c r="C6" s="13" t="n">
        <f aca="false">SUM(Costs!C15:N15)/12</f>
        <v>560.7425</v>
      </c>
      <c r="D6" s="13" t="n">
        <f aca="false">SUM(Costs!O15:Z15)/12</f>
        <v>5924.41475</v>
      </c>
      <c r="E6" s="13" t="n">
        <f aca="false">SUM(Costs!AA15:AF15)/6</f>
        <v>9209.5095</v>
      </c>
      <c r="F6" s="13" t="n">
        <f aca="false">Costs!AF15</f>
        <v>9970.5</v>
      </c>
    </row>
    <row r="7" customFormat="false" ht="15" hidden="false" customHeight="true" outlineLevel="0" collapsed="false">
      <c r="B7" s="12" t="s">
        <v>116</v>
      </c>
      <c r="C7" s="13" t="n">
        <f aca="false">SUM(Costs!C21:N21)/12</f>
        <v>981.092255859375</v>
      </c>
      <c r="D7" s="13" t="n">
        <f aca="false">SUM(Costs!O21:Z21)/12</f>
        <v>7563.47966179688</v>
      </c>
      <c r="E7" s="13" t="n">
        <f aca="false">SUM(Costs!AA21:AF21)/6</f>
        <v>12674.0216938828</v>
      </c>
      <c r="F7" s="13" t="n">
        <f aca="false">Costs!AF21</f>
        <v>13844.5275234375</v>
      </c>
    </row>
    <row r="8" customFormat="false" ht="15" hidden="false" customHeight="true" outlineLevel="0" collapsed="false">
      <c r="B8" s="12" t="s">
        <v>117</v>
      </c>
      <c r="C8" s="13" t="n">
        <f aca="false">SUM(Costs!C30:N30)/12</f>
        <v>3712.3675</v>
      </c>
      <c r="D8" s="13" t="n">
        <f aca="false">SUM(Costs!O30:Z30)/12</f>
        <v>5877.36442</v>
      </c>
      <c r="E8" s="13" t="n">
        <f aca="false">SUM(Costs!AA30:AF30)/6</f>
        <v>8046.065334</v>
      </c>
      <c r="F8" s="13" t="n">
        <f aca="false">Costs!AF30</f>
        <v>8552.546</v>
      </c>
    </row>
    <row r="9" customFormat="false" ht="15" hidden="false" customHeight="true" outlineLevel="0" collapsed="false">
      <c r="B9" s="12" t="s">
        <v>118</v>
      </c>
      <c r="C9" s="13" t="n">
        <f aca="false">SUM(Costs!C34:N34)/12</f>
        <v>49.9368559646606</v>
      </c>
      <c r="D9" s="13" t="n">
        <f aca="false">SUM(Costs!O34:Z34)/12</f>
        <v>797.253748568268</v>
      </c>
      <c r="E9" s="13" t="n">
        <f aca="false">SUM(Costs!AA34:AF34)/6</f>
        <v>1983.89270756239</v>
      </c>
      <c r="F9" s="13" t="n">
        <f aca="false">Costs!AF34</f>
        <v>2375.16680379581</v>
      </c>
    </row>
    <row r="10" customFormat="false" ht="15" hidden="false" customHeight="true" outlineLevel="0" collapsed="false">
      <c r="B10" s="12" t="s">
        <v>119</v>
      </c>
      <c r="C10" s="13" t="n">
        <f aca="false">SUM(Costs!C39:N39)/12</f>
        <v>7118.32625</v>
      </c>
      <c r="D10" s="13" t="n">
        <f aca="false">SUM(Costs!O39:Z39)/12</f>
        <v>72943.9608333333</v>
      </c>
      <c r="E10" s="13" t="n">
        <f aca="false">SUM(Costs!AA39:AF39)/6</f>
        <v>120738.951666667</v>
      </c>
      <c r="F10" s="13" t="n">
        <f aca="false">Costs!AF39</f>
        <v>132340.32</v>
      </c>
    </row>
    <row r="11" customFormat="false" ht="15" hidden="false" customHeight="true" outlineLevel="0" collapsed="false">
      <c r="B11" s="12" t="s">
        <v>76</v>
      </c>
      <c r="C11" s="13" t="n">
        <f aca="false">SUM(Costs!C47:N47)/12</f>
        <v>0</v>
      </c>
      <c r="D11" s="13" t="n">
        <f aca="false">SUM(Costs!O47:Z47)/12</f>
        <v>2090.5954</v>
      </c>
      <c r="E11" s="13" t="n">
        <f aca="false">SUM(Costs!AA47:AF47)/6</f>
        <v>3810.34946666667</v>
      </c>
      <c r="F11" s="13" t="n">
        <f aca="false">Costs!AF47</f>
        <v>4470</v>
      </c>
    </row>
    <row r="12" customFormat="false" ht="15" hidden="false" customHeight="true" outlineLevel="0" collapsed="false">
      <c r="B12" s="14" t="s">
        <v>120</v>
      </c>
      <c r="C12" s="15" t="n">
        <f aca="false">SUM(C5:C11)</f>
        <v>17434.221861824</v>
      </c>
      <c r="D12" s="15" t="n">
        <f aca="false">SUM(D5:D11)</f>
        <v>103243.367813698</v>
      </c>
      <c r="E12" s="15" t="n">
        <f aca="false">SUM(E5:E11)</f>
        <v>166992.104608779</v>
      </c>
      <c r="F12" s="15" t="n">
        <f aca="false">SUM(F5:F11)</f>
        <v>182633.487207233</v>
      </c>
    </row>
    <row r="14" customFormat="false" ht="23.25" hidden="false" customHeight="true" outlineLevel="0" collapsed="false">
      <c r="B14" s="10" t="s">
        <v>121</v>
      </c>
      <c r="C14" s="11" t="s">
        <v>122</v>
      </c>
      <c r="D14" s="11" t="s">
        <v>123</v>
      </c>
      <c r="E14" s="11" t="s">
        <v>124</v>
      </c>
      <c r="F14" s="11" t="s">
        <v>125</v>
      </c>
    </row>
    <row r="15" customFormat="false" ht="15" hidden="false" customHeight="true" outlineLevel="0" collapsed="false">
      <c r="B15" s="14" t="s">
        <v>126</v>
      </c>
      <c r="C15" s="15" t="n">
        <f aca="false">SUM(Costs!C49:N49)</f>
        <v>209210.662341888</v>
      </c>
      <c r="D15" s="15" t="n">
        <f aca="false">SUM(Costs!O49:Z49)</f>
        <v>1238920.41376438</v>
      </c>
      <c r="E15" s="15" t="n">
        <f aca="false">SUM(Costs!AA49:AF49)</f>
        <v>1001952.62765267</v>
      </c>
      <c r="F15" s="15" t="n">
        <f aca="false">SUM(C15:E15)</f>
        <v>2450083.70375894</v>
      </c>
    </row>
    <row r="17" customFormat="false" ht="15" hidden="false" customHeight="true" outlineLevel="0" collapsed="false">
      <c r="B17" s="16" t="s">
        <v>127</v>
      </c>
      <c r="C17" s="17"/>
      <c r="D17" s="17"/>
      <c r="E17" s="17"/>
      <c r="F17" s="17"/>
    </row>
    <row r="18" customFormat="false" ht="15" hidden="false" customHeight="true" outlineLevel="0" collapsed="false">
      <c r="B18" s="12" t="s">
        <v>128</v>
      </c>
      <c r="C18" s="18" t="n">
        <f aca="false">Drivers!N7</f>
        <v>1000000</v>
      </c>
      <c r="D18" s="18" t="n">
        <f aca="false">Drivers!Z7</f>
        <v>3900000</v>
      </c>
      <c r="E18" s="18" t="n">
        <f aca="false">Drivers!AF7</f>
        <v>5000000</v>
      </c>
      <c r="F18" s="18" t="n">
        <f aca="false">Drivers!AF7</f>
        <v>5000000</v>
      </c>
    </row>
    <row r="19" customFormat="false" ht="15" hidden="false" customHeight="true" outlineLevel="0" collapsed="false">
      <c r="B19" s="12" t="s">
        <v>129</v>
      </c>
      <c r="C19" s="19" t="n">
        <f aca="false">C15/C18</f>
        <v>0.209210662341888</v>
      </c>
      <c r="D19" s="19" t="n">
        <f aca="false">D15/D18</f>
        <v>0.317671900965226</v>
      </c>
      <c r="E19" s="19" t="n">
        <f aca="false">E15/E18</f>
        <v>0.200390525530534</v>
      </c>
      <c r="F19" s="19" t="n">
        <f aca="false">F15/F18</f>
        <v>0.490016740751788</v>
      </c>
    </row>
    <row r="20" customFormat="false" ht="15" hidden="false" customHeight="true" outlineLevel="0" collapsed="false">
      <c r="B20" s="12" t="s">
        <v>130</v>
      </c>
      <c r="C20" s="18" t="n">
        <f aca="false">SUM(Drivers!C11:N11)</f>
        <v>17157000</v>
      </c>
      <c r="D20" s="18" t="n">
        <f aca="false">SUM(Drivers!O11:Z11)</f>
        <v>175932400</v>
      </c>
      <c r="E20" s="18" t="n">
        <f aca="false">SUM(Drivers!AA11:AF11)</f>
        <v>145608400</v>
      </c>
      <c r="F20" s="20" t="n">
        <f aca="false">SUM(C20:E20)</f>
        <v>338697800</v>
      </c>
    </row>
    <row r="21" customFormat="false" ht="15" hidden="false" customHeight="true" outlineLevel="0" collapsed="false">
      <c r="B21" s="12" t="s">
        <v>131</v>
      </c>
      <c r="C21" s="21" t="n">
        <f aca="false">C15/C20</f>
        <v>0.0121938953396216</v>
      </c>
      <c r="D21" s="21" t="n">
        <f aca="false">D15/D20</f>
        <v>0.00704202531065558</v>
      </c>
      <c r="E21" s="21" t="n">
        <f aca="false">E15/E20</f>
        <v>0.00688114578315998</v>
      </c>
      <c r="F21" s="21" t="n">
        <f aca="false">F15/F20</f>
        <v>0.00723383412516687</v>
      </c>
    </row>
    <row r="23" customFormat="false" ht="15" hidden="false" customHeight="true" outlineLevel="0" collapsed="false">
      <c r="B23" s="16" t="s">
        <v>132</v>
      </c>
      <c r="C23" s="17"/>
      <c r="D23" s="17"/>
      <c r="E23" s="17"/>
      <c r="F23" s="17"/>
    </row>
    <row r="24" customFormat="false" ht="15" hidden="false" customHeight="true" outlineLevel="0" collapsed="false">
      <c r="B24" s="22" t="s">
        <v>133</v>
      </c>
      <c r="C24" s="23" t="n">
        <f aca="false">F15</f>
        <v>2450083.70375894</v>
      </c>
    </row>
    <row r="25" customFormat="false" ht="15" hidden="false" customHeight="true" outlineLevel="0" collapsed="false">
      <c r="B25" s="12" t="s">
        <v>134</v>
      </c>
      <c r="C25" s="24" t="n">
        <f aca="false">SUM(Costs!C39:AF39)/F15</f>
        <v>0.687805544118586</v>
      </c>
    </row>
    <row r="26" customFormat="false" ht="15" hidden="false" customHeight="true" outlineLevel="0" collapsed="false">
      <c r="B26" s="12" t="s">
        <v>135</v>
      </c>
      <c r="C26" s="25" t="n">
        <f aca="false">Costs!C49</f>
        <v>9107.34870033936</v>
      </c>
      <c r="D26" s="25" t="n">
        <f aca="false">Costs!AF49</f>
        <v>182633.487207233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58"/>
  </cols>
  <sheetData>
    <row r="1" customFormat="false" ht="19.5" hidden="false" customHeight="true" outlineLevel="0" collapsed="false">
      <c r="B1" s="2" t="s">
        <v>136</v>
      </c>
    </row>
    <row r="2" customFormat="false" ht="15" hidden="false" customHeight="true" outlineLevel="0" collapsed="false">
      <c r="B2" s="9" t="s">
        <v>137</v>
      </c>
    </row>
    <row r="4" customFormat="false" ht="15" hidden="false" customHeight="true" outlineLevel="0" collapsed="false">
      <c r="B4" s="16" t="s">
        <v>138</v>
      </c>
      <c r="C4" s="17"/>
      <c r="D4" s="17"/>
    </row>
    <row r="5" customFormat="false" ht="15" hidden="false" customHeight="true" outlineLevel="0" collapsed="false">
      <c r="B5" s="12" t="s">
        <v>139</v>
      </c>
      <c r="C5" s="26" t="n">
        <v>0.25</v>
      </c>
      <c r="D5" s="9" t="s">
        <v>140</v>
      </c>
    </row>
    <row r="6" customFormat="false" ht="15" hidden="false" customHeight="true" outlineLevel="0" collapsed="false">
      <c r="B6" s="12" t="s">
        <v>141</v>
      </c>
      <c r="C6" s="27" t="n">
        <v>0.45</v>
      </c>
      <c r="D6" s="9" t="s">
        <v>142</v>
      </c>
    </row>
    <row r="7" customFormat="false" ht="15" hidden="false" customHeight="true" outlineLevel="0" collapsed="false">
      <c r="B7" s="12" t="s">
        <v>143</v>
      </c>
      <c r="C7" s="27" t="n">
        <v>0.7</v>
      </c>
      <c r="D7" s="9" t="s">
        <v>144</v>
      </c>
    </row>
    <row r="8" customFormat="false" ht="15" hidden="false" customHeight="true" outlineLevel="0" collapsed="false">
      <c r="B8" s="16" t="s">
        <v>145</v>
      </c>
      <c r="C8" s="17"/>
      <c r="D8" s="17"/>
    </row>
    <row r="9" customFormat="false" ht="15" hidden="false" customHeight="true" outlineLevel="0" collapsed="false">
      <c r="B9" s="12" t="s">
        <v>146</v>
      </c>
      <c r="C9" s="28" t="n">
        <v>3</v>
      </c>
      <c r="D9" s="9" t="s">
        <v>147</v>
      </c>
    </row>
    <row r="10" customFormat="false" ht="15" hidden="false" customHeight="true" outlineLevel="0" collapsed="false">
      <c r="B10" s="12" t="s">
        <v>148</v>
      </c>
      <c r="C10" s="27" t="n">
        <v>0.5</v>
      </c>
      <c r="D10" s="9" t="s">
        <v>149</v>
      </c>
    </row>
    <row r="11" customFormat="false" ht="15" hidden="false" customHeight="true" outlineLevel="0" collapsed="false">
      <c r="B11" s="16" t="s">
        <v>150</v>
      </c>
      <c r="C11" s="17"/>
      <c r="D11" s="17"/>
    </row>
    <row r="12" customFormat="false" ht="15" hidden="false" customHeight="true" outlineLevel="0" collapsed="false">
      <c r="B12" s="12" t="s">
        <v>151</v>
      </c>
      <c r="C12" s="27" t="n">
        <v>0.55</v>
      </c>
      <c r="D12" s="9" t="s">
        <v>152</v>
      </c>
    </row>
    <row r="13" customFormat="false" ht="15" hidden="false" customHeight="true" outlineLevel="0" collapsed="false">
      <c r="B13" s="12" t="s">
        <v>153</v>
      </c>
      <c r="C13" s="27" t="n">
        <v>0.35</v>
      </c>
    </row>
    <row r="14" customFormat="false" ht="15" hidden="false" customHeight="true" outlineLevel="0" collapsed="false">
      <c r="B14" s="12" t="s">
        <v>154</v>
      </c>
      <c r="C14" s="27" t="n">
        <v>0.1</v>
      </c>
      <c r="D14" s="9" t="s">
        <v>155</v>
      </c>
    </row>
    <row r="15" customFormat="false" ht="15" hidden="false" customHeight="true" outlineLevel="0" collapsed="false">
      <c r="B15" s="16" t="s">
        <v>156</v>
      </c>
      <c r="C15" s="17"/>
      <c r="D15" s="17"/>
    </row>
    <row r="16" customFormat="false" ht="15" hidden="false" customHeight="true" outlineLevel="0" collapsed="false">
      <c r="B16" s="12" t="s">
        <v>157</v>
      </c>
      <c r="C16" s="29" t="n">
        <v>400</v>
      </c>
      <c r="D16" s="9" t="s">
        <v>158</v>
      </c>
    </row>
    <row r="17" customFormat="false" ht="15" hidden="false" customHeight="true" outlineLevel="0" collapsed="false">
      <c r="B17" s="12" t="s">
        <v>159</v>
      </c>
      <c r="C17" s="29" t="n">
        <v>500</v>
      </c>
      <c r="D17" s="9" t="s">
        <v>160</v>
      </c>
    </row>
    <row r="18" customFormat="false" ht="15" hidden="false" customHeight="true" outlineLevel="0" collapsed="false">
      <c r="B18" s="12" t="s">
        <v>161</v>
      </c>
      <c r="C18" s="29" t="n">
        <v>5</v>
      </c>
    </row>
    <row r="19" customFormat="false" ht="15" hidden="false" customHeight="true" outlineLevel="0" collapsed="false">
      <c r="B19" s="12" t="s">
        <v>162</v>
      </c>
      <c r="C19" s="29" t="n">
        <v>320</v>
      </c>
      <c r="D19" s="9" t="s">
        <v>163</v>
      </c>
    </row>
    <row r="20" customFormat="false" ht="15" hidden="false" customHeight="true" outlineLevel="0" collapsed="false">
      <c r="B20" s="12" t="s">
        <v>164</v>
      </c>
      <c r="C20" s="29" t="n">
        <v>18</v>
      </c>
      <c r="D20" s="9" t="s">
        <v>165</v>
      </c>
    </row>
    <row r="21" customFormat="false" ht="15" hidden="false" customHeight="true" outlineLevel="0" collapsed="false">
      <c r="B21" s="16" t="s">
        <v>166</v>
      </c>
      <c r="C21" s="17"/>
      <c r="D21" s="17"/>
    </row>
    <row r="22" customFormat="false" ht="15" hidden="false" customHeight="true" outlineLevel="0" collapsed="false">
      <c r="B22" s="12" t="s">
        <v>167</v>
      </c>
      <c r="C22" s="29" t="n">
        <v>60</v>
      </c>
      <c r="D22" s="9" t="s">
        <v>168</v>
      </c>
    </row>
    <row r="23" customFormat="false" ht="15" hidden="false" customHeight="true" outlineLevel="0" collapsed="false">
      <c r="B23" s="12" t="s">
        <v>169</v>
      </c>
      <c r="C23" s="29" t="n">
        <v>25</v>
      </c>
    </row>
    <row r="24" customFormat="false" ht="15" hidden="false" customHeight="true" outlineLevel="0" collapsed="false">
      <c r="B24" s="16" t="s">
        <v>170</v>
      </c>
      <c r="C24" s="17"/>
      <c r="D24" s="17"/>
    </row>
    <row r="25" customFormat="false" ht="15" hidden="false" customHeight="true" outlineLevel="0" collapsed="false">
      <c r="B25" s="12" t="s">
        <v>171</v>
      </c>
      <c r="C25" s="29" t="n">
        <v>1200</v>
      </c>
      <c r="D25" s="9" t="s">
        <v>172</v>
      </c>
    </row>
    <row r="26" customFormat="false" ht="15" hidden="false" customHeight="true" outlineLevel="0" collapsed="false">
      <c r="B26" s="12" t="s">
        <v>173</v>
      </c>
      <c r="C26" s="29" t="n">
        <v>50</v>
      </c>
    </row>
    <row r="27" customFormat="false" ht="15" hidden="false" customHeight="true" outlineLevel="0" collapsed="false">
      <c r="B27" s="12" t="s">
        <v>174</v>
      </c>
      <c r="C27" s="29" t="n">
        <v>2500</v>
      </c>
      <c r="D27" s="9" t="s">
        <v>175</v>
      </c>
    </row>
    <row r="28" customFormat="false" ht="15" hidden="false" customHeight="true" outlineLevel="0" collapsed="false">
      <c r="B28" s="12" t="s">
        <v>176</v>
      </c>
      <c r="C28" s="29" t="n">
        <v>500</v>
      </c>
    </row>
    <row r="29" customFormat="false" ht="15" hidden="false" customHeight="true" outlineLevel="0" collapsed="false">
      <c r="B29" s="12" t="s">
        <v>177</v>
      </c>
      <c r="C29" s="29" t="n">
        <v>5</v>
      </c>
      <c r="D29" s="9" t="s">
        <v>178</v>
      </c>
    </row>
    <row r="30" customFormat="false" ht="15" hidden="false" customHeight="true" outlineLevel="0" collapsed="false">
      <c r="B30" s="12" t="s">
        <v>179</v>
      </c>
      <c r="C30" s="29" t="n">
        <v>2000</v>
      </c>
    </row>
    <row r="31" customFormat="false" ht="15" hidden="false" customHeight="true" outlineLevel="0" collapsed="false">
      <c r="B31" s="12" t="s">
        <v>180</v>
      </c>
      <c r="C31" s="29" t="n">
        <v>1000</v>
      </c>
    </row>
    <row r="32" customFormat="false" ht="15" hidden="false" customHeight="true" outlineLevel="0" collapsed="false">
      <c r="B32" s="16" t="s">
        <v>181</v>
      </c>
      <c r="C32" s="17"/>
      <c r="D32" s="17"/>
    </row>
    <row r="33" customFormat="false" ht="15" hidden="false" customHeight="true" outlineLevel="0" collapsed="false">
      <c r="B33" s="12" t="s">
        <v>182</v>
      </c>
      <c r="C33" s="30" t="n">
        <v>1</v>
      </c>
      <c r="D33" s="9" t="s">
        <v>183</v>
      </c>
    </row>
    <row r="34" customFormat="false" ht="15" hidden="false" customHeight="true" outlineLevel="0" collapsed="false">
      <c r="B34" s="12" t="s">
        <v>184</v>
      </c>
      <c r="C34" s="30" t="n">
        <v>5</v>
      </c>
    </row>
    <row r="35" customFormat="false" ht="15" hidden="false" customHeight="true" outlineLevel="0" collapsed="false">
      <c r="B35" s="12" t="s">
        <v>185</v>
      </c>
      <c r="C35" s="30" t="n">
        <v>3</v>
      </c>
    </row>
    <row r="36" customFormat="false" ht="15" hidden="false" customHeight="true" outlineLevel="0" collapsed="false">
      <c r="B36" s="12" t="s">
        <v>186</v>
      </c>
      <c r="C36" s="30" t="n">
        <v>15</v>
      </c>
    </row>
    <row r="37" customFormat="false" ht="15" hidden="false" customHeight="true" outlineLevel="0" collapsed="false">
      <c r="B37" s="12" t="s">
        <v>187</v>
      </c>
      <c r="C37" s="30" t="n">
        <v>5</v>
      </c>
    </row>
    <row r="38" customFormat="false" ht="15" hidden="false" customHeight="true" outlineLevel="0" collapsed="false">
      <c r="B38" s="12" t="s">
        <v>188</v>
      </c>
      <c r="C38" s="30" t="n">
        <v>25</v>
      </c>
    </row>
    <row r="39" customFormat="false" ht="15" hidden="false" customHeight="true" outlineLevel="0" collapsed="false">
      <c r="B39" s="12" t="s">
        <v>189</v>
      </c>
      <c r="C39" s="27" t="n">
        <v>0.5</v>
      </c>
      <c r="D39" s="9" t="s">
        <v>190</v>
      </c>
    </row>
    <row r="40" customFormat="false" ht="15" hidden="false" customHeight="true" outlineLevel="0" collapsed="false">
      <c r="B40" s="12" t="s">
        <v>191</v>
      </c>
      <c r="C40" s="27" t="n">
        <v>0.5</v>
      </c>
      <c r="D40" s="9" t="s">
        <v>192</v>
      </c>
    </row>
    <row r="41" customFormat="false" ht="15" hidden="false" customHeight="true" outlineLevel="0" collapsed="false">
      <c r="B41" s="12" t="s">
        <v>193</v>
      </c>
      <c r="C41" s="26" t="n">
        <v>0</v>
      </c>
      <c r="D41" s="9" t="s">
        <v>194</v>
      </c>
    </row>
    <row r="42" customFormat="false" ht="15" hidden="false" customHeight="true" outlineLevel="0" collapsed="false">
      <c r="B42" s="16" t="s">
        <v>195</v>
      </c>
      <c r="C42" s="17"/>
      <c r="D42" s="17"/>
    </row>
    <row r="43" customFormat="false" ht="15" hidden="false" customHeight="true" outlineLevel="0" collapsed="false">
      <c r="B43" s="12" t="s">
        <v>196</v>
      </c>
      <c r="C43" s="30" t="n">
        <v>0.1</v>
      </c>
    </row>
    <row r="44" customFormat="false" ht="15" hidden="false" customHeight="true" outlineLevel="0" collapsed="false">
      <c r="B44" s="12" t="s">
        <v>197</v>
      </c>
      <c r="C44" s="29" t="n">
        <v>30000</v>
      </c>
    </row>
    <row r="45" customFormat="false" ht="15" hidden="false" customHeight="true" outlineLevel="0" collapsed="false">
      <c r="B45" s="12" t="s">
        <v>198</v>
      </c>
      <c r="C45" s="29" t="n">
        <v>4</v>
      </c>
      <c r="D45" s="9" t="s">
        <v>199</v>
      </c>
    </row>
    <row r="46" customFormat="false" ht="15" hidden="false" customHeight="true" outlineLevel="0" collapsed="false">
      <c r="B46" s="12" t="s">
        <v>200</v>
      </c>
      <c r="C46" s="30" t="n">
        <v>0.192</v>
      </c>
      <c r="D46" s="9" t="s">
        <v>201</v>
      </c>
    </row>
    <row r="47" customFormat="false" ht="15" hidden="false" customHeight="true" outlineLevel="0" collapsed="false">
      <c r="B47" s="12" t="s">
        <v>202</v>
      </c>
      <c r="C47" s="27" t="n">
        <v>0.25</v>
      </c>
      <c r="D47" s="9" t="s">
        <v>203</v>
      </c>
    </row>
    <row r="48" customFormat="false" ht="15" hidden="false" customHeight="true" outlineLevel="0" collapsed="false">
      <c r="B48" s="12" t="s">
        <v>204</v>
      </c>
      <c r="C48" s="31" t="n">
        <v>250</v>
      </c>
      <c r="D48" s="9" t="s">
        <v>205</v>
      </c>
    </row>
    <row r="49" customFormat="false" ht="15" hidden="false" customHeight="true" outlineLevel="0" collapsed="false">
      <c r="B49" s="12" t="s">
        <v>206</v>
      </c>
      <c r="C49" s="30" t="n">
        <v>0.65</v>
      </c>
      <c r="D49" s="9" t="s">
        <v>207</v>
      </c>
    </row>
    <row r="50" customFormat="false" ht="15" hidden="false" customHeight="true" outlineLevel="0" collapsed="false">
      <c r="B50" s="12" t="s">
        <v>208</v>
      </c>
      <c r="C50" s="31" t="n">
        <v>850</v>
      </c>
      <c r="D50" s="9" t="s">
        <v>209</v>
      </c>
    </row>
    <row r="51" customFormat="false" ht="15" hidden="false" customHeight="true" outlineLevel="0" collapsed="false">
      <c r="B51" s="12" t="s">
        <v>210</v>
      </c>
      <c r="C51" s="32" t="n">
        <v>650</v>
      </c>
      <c r="D51" s="9" t="s">
        <v>211</v>
      </c>
    </row>
    <row r="52" customFormat="false" ht="15" hidden="false" customHeight="true" outlineLevel="0" collapsed="false">
      <c r="B52" s="16" t="s">
        <v>212</v>
      </c>
      <c r="C52" s="17"/>
      <c r="D52" s="17"/>
    </row>
    <row r="53" customFormat="false" ht="15" hidden="false" customHeight="true" outlineLevel="0" collapsed="false">
      <c r="B53" s="12" t="s">
        <v>213</v>
      </c>
      <c r="C53" s="29" t="n">
        <v>50000</v>
      </c>
    </row>
    <row r="54" customFormat="false" ht="15" hidden="false" customHeight="true" outlineLevel="0" collapsed="false">
      <c r="B54" s="12" t="s">
        <v>214</v>
      </c>
      <c r="C54" s="30" t="n">
        <v>0.0055</v>
      </c>
      <c r="D54" s="9" t="s">
        <v>215</v>
      </c>
    </row>
    <row r="55" customFormat="false" ht="15" hidden="false" customHeight="true" outlineLevel="0" collapsed="false">
      <c r="B55" s="12" t="s">
        <v>216</v>
      </c>
      <c r="C55" s="30" t="n">
        <v>0.0046</v>
      </c>
    </row>
    <row r="56" customFormat="false" ht="15" hidden="false" customHeight="true" outlineLevel="0" collapsed="false">
      <c r="B56" s="12" t="s">
        <v>217</v>
      </c>
      <c r="C56" s="30" t="n">
        <v>0.00325</v>
      </c>
    </row>
    <row r="57" customFormat="false" ht="15" hidden="false" customHeight="true" outlineLevel="0" collapsed="false">
      <c r="B57" s="12" t="s">
        <v>218</v>
      </c>
      <c r="C57" s="30" t="n">
        <v>0.0025</v>
      </c>
    </row>
    <row r="58" customFormat="false" ht="15" hidden="false" customHeight="true" outlineLevel="0" collapsed="false">
      <c r="B58" s="12" t="s">
        <v>219</v>
      </c>
      <c r="C58" s="31" t="n">
        <v>25</v>
      </c>
    </row>
    <row r="59" customFormat="false" ht="15" hidden="false" customHeight="true" outlineLevel="0" collapsed="false">
      <c r="B59" s="12" t="s">
        <v>220</v>
      </c>
      <c r="C59" s="30" t="n">
        <v>0.6</v>
      </c>
    </row>
    <row r="60" customFormat="false" ht="15" hidden="false" customHeight="true" outlineLevel="0" collapsed="false">
      <c r="B60" s="16" t="s">
        <v>221</v>
      </c>
      <c r="C60" s="17"/>
      <c r="D60" s="17"/>
    </row>
    <row r="61" customFormat="false" ht="15" hidden="false" customHeight="true" outlineLevel="0" collapsed="false">
      <c r="B61" s="12" t="s">
        <v>222</v>
      </c>
      <c r="C61" s="29" t="n">
        <v>2</v>
      </c>
    </row>
    <row r="62" customFormat="false" ht="15" hidden="false" customHeight="true" outlineLevel="0" collapsed="false">
      <c r="B62" s="12" t="s">
        <v>223</v>
      </c>
      <c r="C62" s="30" t="n">
        <v>0.0225</v>
      </c>
    </row>
    <row r="63" customFormat="false" ht="15" hidden="false" customHeight="true" outlineLevel="0" collapsed="false">
      <c r="B63" s="12" t="s">
        <v>224</v>
      </c>
      <c r="C63" s="30" t="n">
        <v>0.1</v>
      </c>
      <c r="D63" s="9" t="s">
        <v>225</v>
      </c>
    </row>
    <row r="64" customFormat="false" ht="15" hidden="false" customHeight="true" outlineLevel="0" collapsed="false">
      <c r="B64" s="12" t="s">
        <v>226</v>
      </c>
      <c r="C64" s="30" t="n">
        <v>0.06</v>
      </c>
      <c r="D64" s="9" t="s">
        <v>227</v>
      </c>
    </row>
    <row r="65" customFormat="false" ht="15" hidden="false" customHeight="true" outlineLevel="0" collapsed="false">
      <c r="B65" s="12" t="s">
        <v>228</v>
      </c>
      <c r="C65" s="29" t="n">
        <v>2</v>
      </c>
    </row>
    <row r="66" customFormat="false" ht="15" hidden="false" customHeight="true" outlineLevel="0" collapsed="false">
      <c r="B66" s="12" t="s">
        <v>229</v>
      </c>
      <c r="C66" s="30" t="n">
        <v>0.045</v>
      </c>
      <c r="D66" s="9" t="s">
        <v>230</v>
      </c>
    </row>
    <row r="67" customFormat="false" ht="15" hidden="false" customHeight="true" outlineLevel="0" collapsed="false">
      <c r="B67" s="16" t="s">
        <v>231</v>
      </c>
      <c r="C67" s="17"/>
      <c r="D67" s="17"/>
    </row>
    <row r="68" customFormat="false" ht="15" hidden="false" customHeight="true" outlineLevel="0" collapsed="false">
      <c r="B68" s="12" t="s">
        <v>232</v>
      </c>
      <c r="C68" s="29" t="n">
        <v>25000</v>
      </c>
    </row>
    <row r="69" customFormat="false" ht="15" hidden="false" customHeight="true" outlineLevel="0" collapsed="false">
      <c r="B69" s="12" t="s">
        <v>233</v>
      </c>
      <c r="C69" s="29" t="n">
        <v>10</v>
      </c>
      <c r="D69" s="9" t="s">
        <v>234</v>
      </c>
    </row>
    <row r="70" customFormat="false" ht="15" hidden="false" customHeight="true" outlineLevel="0" collapsed="false">
      <c r="B70" s="12" t="s">
        <v>235</v>
      </c>
      <c r="C70" s="33" t="n">
        <v>1</v>
      </c>
      <c r="D70" s="9" t="s">
        <v>236</v>
      </c>
    </row>
    <row r="71" customFormat="false" ht="15" hidden="false" customHeight="true" outlineLevel="0" collapsed="false">
      <c r="B71" s="12" t="s">
        <v>237</v>
      </c>
      <c r="C71" s="30" t="n">
        <v>0.12</v>
      </c>
      <c r="D71" s="9" t="s">
        <v>238</v>
      </c>
    </row>
    <row r="72" customFormat="false" ht="15" hidden="false" customHeight="true" outlineLevel="0" collapsed="false">
      <c r="B72" s="12" t="s">
        <v>239</v>
      </c>
      <c r="C72" s="30" t="n">
        <v>0.1</v>
      </c>
    </row>
    <row r="73" customFormat="false" ht="15" hidden="false" customHeight="true" outlineLevel="0" collapsed="false">
      <c r="B73" s="12" t="s">
        <v>240</v>
      </c>
      <c r="C73" s="33" t="n">
        <v>0.5</v>
      </c>
      <c r="D73" s="9" t="s">
        <v>241</v>
      </c>
    </row>
    <row r="74" customFormat="false" ht="15" hidden="false" customHeight="true" outlineLevel="0" collapsed="false">
      <c r="B74" s="16" t="s">
        <v>242</v>
      </c>
      <c r="C74" s="17"/>
      <c r="D74" s="17"/>
    </row>
    <row r="75" customFormat="false" ht="15" hidden="false" customHeight="true" outlineLevel="0" collapsed="false">
      <c r="B75" s="12" t="s">
        <v>243</v>
      </c>
      <c r="C75" s="29" t="n">
        <v>4</v>
      </c>
      <c r="D75" s="9" t="s">
        <v>244</v>
      </c>
    </row>
    <row r="76" customFormat="false" ht="15" hidden="false" customHeight="true" outlineLevel="0" collapsed="false">
      <c r="B76" s="12" t="s">
        <v>245</v>
      </c>
      <c r="C76" s="29" t="n">
        <v>40</v>
      </c>
    </row>
    <row r="77" customFormat="false" ht="15" hidden="false" customHeight="true" outlineLevel="0" collapsed="false">
      <c r="B77" s="12" t="s">
        <v>246</v>
      </c>
      <c r="C77" s="30" t="n">
        <v>1.25</v>
      </c>
    </row>
    <row r="78" customFormat="false" ht="15" hidden="false" customHeight="true" outlineLevel="0" collapsed="false">
      <c r="B78" s="12" t="s">
        <v>247</v>
      </c>
      <c r="C78" s="30" t="n">
        <v>0.25</v>
      </c>
    </row>
    <row r="79" customFormat="false" ht="15" hidden="false" customHeight="true" outlineLevel="0" collapsed="false">
      <c r="B79" s="12" t="s">
        <v>248</v>
      </c>
      <c r="C79" s="30" t="n">
        <v>0.25</v>
      </c>
    </row>
    <row r="80" customFormat="false" ht="15" hidden="false" customHeight="true" outlineLevel="0" collapsed="false">
      <c r="B80" s="12" t="s">
        <v>249</v>
      </c>
      <c r="C80" s="33" t="n">
        <v>0.3</v>
      </c>
    </row>
    <row r="81" customFormat="false" ht="15" hidden="false" customHeight="true" outlineLevel="0" collapsed="false">
      <c r="B81" s="12" t="s">
        <v>250</v>
      </c>
      <c r="C81" s="31" t="n">
        <v>650</v>
      </c>
      <c r="D81" s="9" t="s">
        <v>251</v>
      </c>
    </row>
    <row r="82" customFormat="false" ht="15" hidden="false" customHeight="true" outlineLevel="0" collapsed="false">
      <c r="B82" s="12" t="s">
        <v>252</v>
      </c>
      <c r="C82" s="31" t="n">
        <v>650</v>
      </c>
      <c r="D82" s="9" t="s">
        <v>253</v>
      </c>
    </row>
    <row r="83" customFormat="false" ht="15" hidden="false" customHeight="true" outlineLevel="0" collapsed="false">
      <c r="B83" s="16" t="s">
        <v>254</v>
      </c>
      <c r="C83" s="17"/>
      <c r="D83" s="17"/>
    </row>
    <row r="84" customFormat="false" ht="15" hidden="false" customHeight="true" outlineLevel="0" collapsed="false">
      <c r="B84" s="12" t="s">
        <v>255</v>
      </c>
      <c r="C84" s="30" t="n">
        <v>0.02</v>
      </c>
      <c r="D84" s="9" t="s">
        <v>256</v>
      </c>
    </row>
    <row r="85" customFormat="false" ht="15" hidden="false" customHeight="true" outlineLevel="0" collapsed="false">
      <c r="B85" s="12" t="s">
        <v>257</v>
      </c>
      <c r="C85" s="30" t="n">
        <v>0.005</v>
      </c>
    </row>
    <row r="86" customFormat="false" ht="15" hidden="false" customHeight="true" outlineLevel="0" collapsed="false">
      <c r="B86" s="12" t="s">
        <v>258</v>
      </c>
      <c r="C86" s="30" t="n">
        <v>0.0004</v>
      </c>
    </row>
    <row r="87" customFormat="false" ht="15" hidden="false" customHeight="true" outlineLevel="0" collapsed="false">
      <c r="B87" s="16" t="s">
        <v>259</v>
      </c>
      <c r="C87" s="17"/>
      <c r="D87" s="17"/>
    </row>
    <row r="88" customFormat="false" ht="15" hidden="false" customHeight="true" outlineLevel="0" collapsed="false">
      <c r="B88" s="12" t="s">
        <v>260</v>
      </c>
      <c r="C88" s="28" t="n">
        <v>13</v>
      </c>
      <c r="D88" s="9" t="s">
        <v>261</v>
      </c>
    </row>
    <row r="89" customFormat="false" ht="15" hidden="false" customHeight="true" outlineLevel="0" collapsed="false">
      <c r="B89" s="12" t="s">
        <v>262</v>
      </c>
      <c r="C89" s="33" t="n">
        <v>1.2</v>
      </c>
      <c r="D89" s="9" t="s">
        <v>263</v>
      </c>
    </row>
    <row r="90" customFormat="false" ht="15" hidden="false" customHeight="true" outlineLevel="0" collapsed="false">
      <c r="B90" s="12" t="s">
        <v>264</v>
      </c>
      <c r="C90" s="30" t="n">
        <v>0.02</v>
      </c>
    </row>
    <row r="91" customFormat="false" ht="15" hidden="false" customHeight="true" outlineLevel="0" collapsed="false">
      <c r="B91" s="12" t="s">
        <v>265</v>
      </c>
      <c r="C91" s="30" t="n">
        <v>2</v>
      </c>
      <c r="D91" s="9" t="s">
        <v>266</v>
      </c>
    </row>
    <row r="92" customFormat="false" ht="15" hidden="false" customHeight="true" outlineLevel="0" collapsed="false">
      <c r="B92" s="12" t="s">
        <v>267</v>
      </c>
      <c r="C92" s="31" t="n">
        <v>400</v>
      </c>
    </row>
    <row r="93" customFormat="false" ht="15" hidden="false" customHeight="true" outlineLevel="0" collapsed="false">
      <c r="B93" s="12" t="s">
        <v>268</v>
      </c>
      <c r="C93" s="30" t="n">
        <v>5</v>
      </c>
    </row>
    <row r="94" customFormat="false" ht="15" hidden="false" customHeight="true" outlineLevel="0" collapsed="false">
      <c r="B94" s="12" t="s">
        <v>269</v>
      </c>
      <c r="C94" s="29" t="n">
        <v>4</v>
      </c>
    </row>
    <row r="95" customFormat="false" ht="15" hidden="false" customHeight="true" outlineLevel="0" collapsed="false">
      <c r="B95" s="12" t="s">
        <v>270</v>
      </c>
      <c r="C95" s="31" t="n">
        <v>350</v>
      </c>
    </row>
    <row r="96" customFormat="false" ht="15" hidden="false" customHeight="true" outlineLevel="0" collapsed="false">
      <c r="B96" s="12" t="s">
        <v>271</v>
      </c>
      <c r="C96" s="30" t="n">
        <v>1.52</v>
      </c>
    </row>
    <row r="97" customFormat="false" ht="15" hidden="false" customHeight="true" outlineLevel="0" collapsed="false">
      <c r="B97" s="12" t="s">
        <v>272</v>
      </c>
      <c r="C97" s="29" t="n">
        <v>120</v>
      </c>
    </row>
    <row r="98" customFormat="false" ht="15" hidden="false" customHeight="true" outlineLevel="0" collapsed="false">
      <c r="B98" s="12" t="s">
        <v>273</v>
      </c>
      <c r="C98" s="29" t="n">
        <v>500</v>
      </c>
      <c r="D98" s="9" t="s">
        <v>274</v>
      </c>
    </row>
    <row r="99" customFormat="false" ht="15" hidden="false" customHeight="true" outlineLevel="0" collapsed="false">
      <c r="B99" s="16" t="s">
        <v>82</v>
      </c>
      <c r="C99" s="17"/>
      <c r="D99" s="17"/>
    </row>
    <row r="100" customFormat="false" ht="15" hidden="false" customHeight="true" outlineLevel="0" collapsed="false">
      <c r="B100" s="12" t="s">
        <v>275</v>
      </c>
      <c r="C100" s="28" t="n">
        <v>13</v>
      </c>
      <c r="D100" s="9" t="s">
        <v>276</v>
      </c>
    </row>
    <row r="101" customFormat="false" ht="15" hidden="false" customHeight="true" outlineLevel="0" collapsed="false">
      <c r="B101" s="12" t="s">
        <v>277</v>
      </c>
      <c r="C101" s="28" t="n">
        <v>25</v>
      </c>
      <c r="D101" s="9" t="s">
        <v>278</v>
      </c>
    </row>
    <row r="102" customFormat="false" ht="15" hidden="false" customHeight="true" outlineLevel="0" collapsed="false">
      <c r="B102" s="12" t="s">
        <v>279</v>
      </c>
      <c r="C102" s="27" t="n">
        <v>0.08</v>
      </c>
      <c r="D102" s="9" t="s">
        <v>280</v>
      </c>
    </row>
    <row r="103" customFormat="false" ht="15" hidden="false" customHeight="true" outlineLevel="0" collapsed="false">
      <c r="B103" s="12" t="s">
        <v>281</v>
      </c>
      <c r="C103" s="27" t="n">
        <v>0.18</v>
      </c>
      <c r="D103" s="9" t="s">
        <v>282</v>
      </c>
    </row>
    <row r="104" customFormat="false" ht="15" hidden="false" customHeight="true" outlineLevel="0" collapsed="false">
      <c r="B104" s="12" t="s">
        <v>283</v>
      </c>
      <c r="C104" s="27" t="n">
        <v>0.25</v>
      </c>
    </row>
    <row r="105" customFormat="false" ht="15" hidden="false" customHeight="true" outlineLevel="0" collapsed="false">
      <c r="B105" s="12" t="s">
        <v>284</v>
      </c>
      <c r="C105" s="27" t="n">
        <v>0.15</v>
      </c>
    </row>
    <row r="107" customFormat="false" ht="15" hidden="false" customHeight="true" outlineLevel="0" collapsed="false">
      <c r="B107" s="16" t="s">
        <v>285</v>
      </c>
      <c r="C107" s="16"/>
      <c r="D107" s="16"/>
    </row>
    <row r="108" customFormat="false" ht="15" hidden="false" customHeight="true" outlineLevel="0" collapsed="false">
      <c r="B108" s="12" t="s">
        <v>286</v>
      </c>
      <c r="C108" s="34" t="n">
        <v>300</v>
      </c>
      <c r="D108" s="9" t="s">
        <v>287</v>
      </c>
    </row>
    <row r="109" customFormat="false" ht="15" hidden="false" customHeight="true" outlineLevel="0" collapsed="false">
      <c r="B109" s="12" t="s">
        <v>288</v>
      </c>
      <c r="C109" s="35" t="n">
        <v>0.18</v>
      </c>
      <c r="D109" s="9" t="s">
        <v>289</v>
      </c>
    </row>
    <row r="110" customFormat="false" ht="15" hidden="false" customHeight="true" outlineLevel="0" collapsed="false">
      <c r="B110" s="12" t="s">
        <v>290</v>
      </c>
      <c r="C110" s="34" t="n">
        <v>120</v>
      </c>
      <c r="D110" s="9" t="s">
        <v>291</v>
      </c>
    </row>
    <row r="111" customFormat="false" ht="15" hidden="false" customHeight="true" outlineLevel="0" collapsed="false">
      <c r="B111" s="1" t="s">
        <v>292</v>
      </c>
      <c r="C111" s="36" t="n">
        <v>0.2</v>
      </c>
      <c r="D111" s="1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2" min="3" style="1" width="11"/>
  </cols>
  <sheetData>
    <row r="1" customFormat="false" ht="19.5" hidden="false" customHeight="true" outlineLevel="0" collapsed="false">
      <c r="B1" s="2" t="s">
        <v>294</v>
      </c>
    </row>
    <row r="2" customFormat="false" ht="15" hidden="false" customHeight="true" outlineLevel="0" collapsed="false">
      <c r="B2" s="9" t="s">
        <v>295</v>
      </c>
    </row>
    <row r="4" customFormat="false" ht="15" hidden="false" customHeight="true" outlineLevel="0" collapsed="false">
      <c r="B4" s="10" t="s">
        <v>296</v>
      </c>
      <c r="C4" s="37" t="s">
        <v>297</v>
      </c>
      <c r="D4" s="37" t="s">
        <v>298</v>
      </c>
      <c r="E4" s="37" t="s">
        <v>299</v>
      </c>
      <c r="F4" s="37" t="s">
        <v>300</v>
      </c>
      <c r="G4" s="37" t="s">
        <v>301</v>
      </c>
      <c r="H4" s="37" t="s">
        <v>302</v>
      </c>
      <c r="I4" s="37" t="s">
        <v>303</v>
      </c>
      <c r="J4" s="37" t="s">
        <v>304</v>
      </c>
      <c r="K4" s="37" t="s">
        <v>305</v>
      </c>
      <c r="L4" s="37" t="s">
        <v>306</v>
      </c>
      <c r="M4" s="37" t="s">
        <v>307</v>
      </c>
      <c r="N4" s="37" t="s">
        <v>308</v>
      </c>
      <c r="O4" s="37" t="s">
        <v>309</v>
      </c>
      <c r="P4" s="37" t="s">
        <v>310</v>
      </c>
      <c r="Q4" s="37" t="s">
        <v>311</v>
      </c>
      <c r="R4" s="37" t="s">
        <v>312</v>
      </c>
      <c r="S4" s="37" t="s">
        <v>313</v>
      </c>
      <c r="T4" s="37" t="s">
        <v>314</v>
      </c>
      <c r="U4" s="37" t="s">
        <v>315</v>
      </c>
      <c r="V4" s="37" t="s">
        <v>316</v>
      </c>
      <c r="W4" s="37" t="s">
        <v>317</v>
      </c>
      <c r="X4" s="37" t="s">
        <v>318</v>
      </c>
      <c r="Y4" s="37" t="s">
        <v>319</v>
      </c>
      <c r="Z4" s="37" t="s">
        <v>320</v>
      </c>
      <c r="AA4" s="37" t="s">
        <v>321</v>
      </c>
      <c r="AB4" s="37" t="s">
        <v>322</v>
      </c>
      <c r="AC4" s="37" t="s">
        <v>323</v>
      </c>
      <c r="AD4" s="37" t="s">
        <v>324</v>
      </c>
      <c r="AE4" s="37" t="s">
        <v>325</v>
      </c>
      <c r="AF4" s="37" t="s">
        <v>326</v>
      </c>
    </row>
    <row r="5" customFormat="false" ht="15" hidden="false" customHeight="true" outlineLevel="0" collapsed="false">
      <c r="B5" s="22" t="s">
        <v>327</v>
      </c>
      <c r="C5" s="38" t="n">
        <v>46296</v>
      </c>
      <c r="D5" s="38" t="n">
        <v>46327</v>
      </c>
      <c r="E5" s="38" t="n">
        <v>46357</v>
      </c>
      <c r="F5" s="38" t="n">
        <v>46388</v>
      </c>
      <c r="G5" s="38" t="n">
        <v>46419</v>
      </c>
      <c r="H5" s="38" t="n">
        <v>46447</v>
      </c>
      <c r="I5" s="38" t="n">
        <v>46478</v>
      </c>
      <c r="J5" s="38" t="n">
        <v>46508</v>
      </c>
      <c r="K5" s="38" t="n">
        <v>46539</v>
      </c>
      <c r="L5" s="38" t="n">
        <v>46569</v>
      </c>
      <c r="M5" s="38" t="n">
        <v>46600</v>
      </c>
      <c r="N5" s="38" t="n">
        <v>46631</v>
      </c>
      <c r="O5" s="38" t="n">
        <v>46661</v>
      </c>
      <c r="P5" s="38" t="n">
        <v>46692</v>
      </c>
      <c r="Q5" s="38" t="n">
        <v>46722</v>
      </c>
      <c r="R5" s="38" t="n">
        <v>46753</v>
      </c>
      <c r="S5" s="38" t="n">
        <v>46784</v>
      </c>
      <c r="T5" s="38" t="n">
        <v>46813</v>
      </c>
      <c r="U5" s="38" t="n">
        <v>46844</v>
      </c>
      <c r="V5" s="38" t="n">
        <v>46874</v>
      </c>
      <c r="W5" s="38" t="n">
        <v>46905</v>
      </c>
      <c r="X5" s="38" t="n">
        <v>46935</v>
      </c>
      <c r="Y5" s="38" t="n">
        <v>46966</v>
      </c>
      <c r="Z5" s="38" t="n">
        <v>46997</v>
      </c>
      <c r="AA5" s="38" t="n">
        <v>47027</v>
      </c>
      <c r="AB5" s="38" t="n">
        <v>47058</v>
      </c>
      <c r="AC5" s="38" t="n">
        <v>47088</v>
      </c>
      <c r="AD5" s="38" t="n">
        <v>47119</v>
      </c>
      <c r="AE5" s="38" t="n">
        <v>47150</v>
      </c>
      <c r="AF5" s="38" t="n">
        <v>47178</v>
      </c>
    </row>
    <row r="7" customFormat="false" ht="15" hidden="false" customHeight="true" outlineLevel="0" collapsed="false">
      <c r="B7" s="22" t="s">
        <v>328</v>
      </c>
      <c r="C7" s="29" t="n">
        <v>8000</v>
      </c>
      <c r="D7" s="29" t="n">
        <v>18000</v>
      </c>
      <c r="E7" s="29" t="n">
        <v>32000</v>
      </c>
      <c r="F7" s="29" t="n">
        <v>52000</v>
      </c>
      <c r="G7" s="29" t="n">
        <v>75000</v>
      </c>
      <c r="H7" s="28" t="n">
        <v>100000</v>
      </c>
      <c r="I7" s="29" t="n">
        <v>150000</v>
      </c>
      <c r="J7" s="29" t="n">
        <v>230000</v>
      </c>
      <c r="K7" s="29" t="n">
        <v>340000</v>
      </c>
      <c r="L7" s="29" t="n">
        <v>500000</v>
      </c>
      <c r="M7" s="29" t="n">
        <v>720000</v>
      </c>
      <c r="N7" s="28" t="n">
        <v>1000000</v>
      </c>
      <c r="O7" s="29" t="n">
        <v>1200000</v>
      </c>
      <c r="P7" s="29" t="n">
        <v>1450000</v>
      </c>
      <c r="Q7" s="29" t="n">
        <v>1720000</v>
      </c>
      <c r="R7" s="29" t="n">
        <v>2050000</v>
      </c>
      <c r="S7" s="29" t="n">
        <v>2500000</v>
      </c>
      <c r="T7" s="28" t="n">
        <v>3000000</v>
      </c>
      <c r="U7" s="29" t="n">
        <v>3150000</v>
      </c>
      <c r="V7" s="29" t="n">
        <v>3300000</v>
      </c>
      <c r="W7" s="29" t="n">
        <v>3450000</v>
      </c>
      <c r="X7" s="29" t="n">
        <v>3600000</v>
      </c>
      <c r="Y7" s="29" t="n">
        <v>3750000</v>
      </c>
      <c r="Z7" s="29" t="n">
        <v>3900000</v>
      </c>
      <c r="AA7" s="29" t="n">
        <v>4100000</v>
      </c>
      <c r="AB7" s="29" t="n">
        <v>4300000</v>
      </c>
      <c r="AC7" s="29" t="n">
        <v>4500000</v>
      </c>
      <c r="AD7" s="29" t="n">
        <v>4650000</v>
      </c>
      <c r="AE7" s="29" t="n">
        <v>4820000</v>
      </c>
      <c r="AF7" s="28" t="n">
        <v>5000000</v>
      </c>
    </row>
    <row r="8" customFormat="false" ht="15" hidden="false" customHeight="true" outlineLevel="0" collapsed="false">
      <c r="B8" s="1" t="s">
        <v>329</v>
      </c>
      <c r="C8" s="20" t="n">
        <f aca="false">C7*Assumptions!$C$5</f>
        <v>2000</v>
      </c>
      <c r="D8" s="20" t="n">
        <f aca="false">D7*Assumptions!$C$5</f>
        <v>4500</v>
      </c>
      <c r="E8" s="20" t="n">
        <f aca="false">E7*Assumptions!$C$5</f>
        <v>8000</v>
      </c>
      <c r="F8" s="20" t="n">
        <f aca="false">F7*Assumptions!$C$5</f>
        <v>13000</v>
      </c>
      <c r="G8" s="20" t="n">
        <f aca="false">G7*Assumptions!$C$5</f>
        <v>18750</v>
      </c>
      <c r="H8" s="20" t="n">
        <f aca="false">H7*Assumptions!$C$5</f>
        <v>25000</v>
      </c>
      <c r="I8" s="20" t="n">
        <f aca="false">I7*Assumptions!$C$5</f>
        <v>37500</v>
      </c>
      <c r="J8" s="20" t="n">
        <f aca="false">J7*Assumptions!$C$5</f>
        <v>57500</v>
      </c>
      <c r="K8" s="20" t="n">
        <f aca="false">K7*Assumptions!$C$5</f>
        <v>85000</v>
      </c>
      <c r="L8" s="20" t="n">
        <f aca="false">L7*Assumptions!$C$5</f>
        <v>125000</v>
      </c>
      <c r="M8" s="20" t="n">
        <f aca="false">M7*Assumptions!$C$5</f>
        <v>180000</v>
      </c>
      <c r="N8" s="20" t="n">
        <f aca="false">N7*Assumptions!$C$5</f>
        <v>250000</v>
      </c>
      <c r="O8" s="20" t="n">
        <f aca="false">O7*Assumptions!$C$5</f>
        <v>300000</v>
      </c>
      <c r="P8" s="20" t="n">
        <f aca="false">P7*Assumptions!$C$5</f>
        <v>362500</v>
      </c>
      <c r="Q8" s="20" t="n">
        <f aca="false">Q7*Assumptions!$C$5</f>
        <v>430000</v>
      </c>
      <c r="R8" s="20" t="n">
        <f aca="false">R7*Assumptions!$C$5</f>
        <v>512500</v>
      </c>
      <c r="S8" s="20" t="n">
        <f aca="false">S7*Assumptions!$C$5</f>
        <v>625000</v>
      </c>
      <c r="T8" s="20" t="n">
        <f aca="false">T7*Assumptions!$C$5</f>
        <v>750000</v>
      </c>
      <c r="U8" s="20" t="n">
        <f aca="false">U7*Assumptions!$C$5</f>
        <v>787500</v>
      </c>
      <c r="V8" s="20" t="n">
        <f aca="false">V7*Assumptions!$C$5</f>
        <v>825000</v>
      </c>
      <c r="W8" s="20" t="n">
        <f aca="false">W7*Assumptions!$C$5</f>
        <v>862500</v>
      </c>
      <c r="X8" s="20" t="n">
        <f aca="false">X7*Assumptions!$C$5</f>
        <v>900000</v>
      </c>
      <c r="Y8" s="20" t="n">
        <f aca="false">Y7*Assumptions!$C$5</f>
        <v>937500</v>
      </c>
      <c r="Z8" s="20" t="n">
        <f aca="false">Z7*Assumptions!$C$5</f>
        <v>975000</v>
      </c>
      <c r="AA8" s="20" t="n">
        <f aca="false">AA7*Assumptions!$C$5</f>
        <v>1025000</v>
      </c>
      <c r="AB8" s="20" t="n">
        <f aca="false">AB7*Assumptions!$C$5</f>
        <v>1075000</v>
      </c>
      <c r="AC8" s="20" t="n">
        <f aca="false">AC7*Assumptions!$C$5</f>
        <v>1125000</v>
      </c>
      <c r="AD8" s="20" t="n">
        <f aca="false">AD7*Assumptions!$C$5</f>
        <v>1162500</v>
      </c>
      <c r="AE8" s="20" t="n">
        <f aca="false">AE7*Assumptions!$C$5</f>
        <v>1205000</v>
      </c>
      <c r="AF8" s="20" t="n">
        <f aca="false">AF7*Assumptions!$C$5</f>
        <v>1250000</v>
      </c>
    </row>
    <row r="9" customFormat="false" ht="15" hidden="false" customHeight="true" outlineLevel="0" collapsed="false">
      <c r="B9" s="1" t="s">
        <v>330</v>
      </c>
      <c r="C9" s="20" t="n">
        <f aca="false">C7*Assumptions!$C$6</f>
        <v>3600</v>
      </c>
      <c r="D9" s="20" t="n">
        <f aca="false">D7*Assumptions!$C$6</f>
        <v>8100</v>
      </c>
      <c r="E9" s="20" t="n">
        <f aca="false">E7*Assumptions!$C$6</f>
        <v>14400</v>
      </c>
      <c r="F9" s="20" t="n">
        <f aca="false">F7*Assumptions!$C$6</f>
        <v>23400</v>
      </c>
      <c r="G9" s="20" t="n">
        <f aca="false">G7*Assumptions!$C$6</f>
        <v>33750</v>
      </c>
      <c r="H9" s="20" t="n">
        <f aca="false">H7*Assumptions!$C$6</f>
        <v>45000</v>
      </c>
      <c r="I9" s="20" t="n">
        <f aca="false">I7*Assumptions!$C$6</f>
        <v>67500</v>
      </c>
      <c r="J9" s="20" t="n">
        <f aca="false">J7*Assumptions!$C$6</f>
        <v>103500</v>
      </c>
      <c r="K9" s="20" t="n">
        <f aca="false">K7*Assumptions!$C$6</f>
        <v>153000</v>
      </c>
      <c r="L9" s="20" t="n">
        <f aca="false">L7*Assumptions!$C$6</f>
        <v>225000</v>
      </c>
      <c r="M9" s="20" t="n">
        <f aca="false">M7*Assumptions!$C$6</f>
        <v>324000</v>
      </c>
      <c r="N9" s="20" t="n">
        <f aca="false">N7*Assumptions!$C$6</f>
        <v>450000</v>
      </c>
      <c r="O9" s="20" t="n">
        <f aca="false">O7*Assumptions!$C$6</f>
        <v>540000</v>
      </c>
      <c r="P9" s="20" t="n">
        <f aca="false">P7*Assumptions!$C$6</f>
        <v>652500</v>
      </c>
      <c r="Q9" s="20" t="n">
        <f aca="false">Q7*Assumptions!$C$6</f>
        <v>774000</v>
      </c>
      <c r="R9" s="20" t="n">
        <f aca="false">R7*Assumptions!$C$6</f>
        <v>922500</v>
      </c>
      <c r="S9" s="20" t="n">
        <f aca="false">S7*Assumptions!$C$6</f>
        <v>1125000</v>
      </c>
      <c r="T9" s="20" t="n">
        <f aca="false">T7*Assumptions!$C$6</f>
        <v>1350000</v>
      </c>
      <c r="U9" s="20" t="n">
        <f aca="false">U7*Assumptions!$C$6</f>
        <v>1417500</v>
      </c>
      <c r="V9" s="20" t="n">
        <f aca="false">V7*Assumptions!$C$6</f>
        <v>1485000</v>
      </c>
      <c r="W9" s="20" t="n">
        <f aca="false">W7*Assumptions!$C$6</f>
        <v>1552500</v>
      </c>
      <c r="X9" s="20" t="n">
        <f aca="false">X7*Assumptions!$C$6</f>
        <v>1620000</v>
      </c>
      <c r="Y9" s="20" t="n">
        <f aca="false">Y7*Assumptions!$C$6</f>
        <v>1687500</v>
      </c>
      <c r="Z9" s="20" t="n">
        <f aca="false">Z7*Assumptions!$C$6</f>
        <v>1755000</v>
      </c>
      <c r="AA9" s="20" t="n">
        <f aca="false">AA7*Assumptions!$C$6</f>
        <v>1845000</v>
      </c>
      <c r="AB9" s="20" t="n">
        <f aca="false">AB7*Assumptions!$C$6</f>
        <v>1935000</v>
      </c>
      <c r="AC9" s="20" t="n">
        <f aca="false">AC7*Assumptions!$C$6</f>
        <v>2025000</v>
      </c>
      <c r="AD9" s="20" t="n">
        <f aca="false">AD7*Assumptions!$C$6</f>
        <v>2092500</v>
      </c>
      <c r="AE9" s="20" t="n">
        <f aca="false">AE7*Assumptions!$C$6</f>
        <v>2169000</v>
      </c>
      <c r="AF9" s="20" t="n">
        <f aca="false">AF7*Assumptions!$C$6</f>
        <v>2250000</v>
      </c>
    </row>
    <row r="10" customFormat="false" ht="15" hidden="false" customHeight="true" outlineLevel="0" collapsed="false">
      <c r="B10" s="22" t="s">
        <v>331</v>
      </c>
      <c r="C10" s="20" t="n">
        <f aca="false">C8*Assumptions!$C$7</f>
        <v>1400</v>
      </c>
      <c r="D10" s="20" t="n">
        <f aca="false">D8*Assumptions!$C$7</f>
        <v>3150</v>
      </c>
      <c r="E10" s="20" t="n">
        <f aca="false">E8*Assumptions!$C$7</f>
        <v>5600</v>
      </c>
      <c r="F10" s="20" t="n">
        <f aca="false">F8*Assumptions!$C$7</f>
        <v>9100</v>
      </c>
      <c r="G10" s="20" t="n">
        <f aca="false">G8*Assumptions!$C$7</f>
        <v>13125</v>
      </c>
      <c r="H10" s="20" t="n">
        <f aca="false">H8*Assumptions!$C$7</f>
        <v>17500</v>
      </c>
      <c r="I10" s="20" t="n">
        <f aca="false">I8*Assumptions!$C$7</f>
        <v>26250</v>
      </c>
      <c r="J10" s="20" t="n">
        <f aca="false">J8*Assumptions!$C$7</f>
        <v>40250</v>
      </c>
      <c r="K10" s="20" t="n">
        <f aca="false">K8*Assumptions!$C$7</f>
        <v>59500</v>
      </c>
      <c r="L10" s="20" t="n">
        <f aca="false">L8*Assumptions!$C$7</f>
        <v>87500</v>
      </c>
      <c r="M10" s="20" t="n">
        <f aca="false">M8*Assumptions!$C$7</f>
        <v>126000</v>
      </c>
      <c r="N10" s="20" t="n">
        <f aca="false">N8*Assumptions!$C$7</f>
        <v>175000</v>
      </c>
      <c r="O10" s="20" t="n">
        <f aca="false">O8*Assumptions!$C$7</f>
        <v>210000</v>
      </c>
      <c r="P10" s="20" t="n">
        <f aca="false">P8*Assumptions!$C$7</f>
        <v>253750</v>
      </c>
      <c r="Q10" s="20" t="n">
        <f aca="false">Q8*Assumptions!$C$7</f>
        <v>301000</v>
      </c>
      <c r="R10" s="20" t="n">
        <f aca="false">R8*Assumptions!$C$7</f>
        <v>358750</v>
      </c>
      <c r="S10" s="20" t="n">
        <f aca="false">S8*Assumptions!$C$7</f>
        <v>437500</v>
      </c>
      <c r="T10" s="20" t="n">
        <f aca="false">T8*Assumptions!$C$7</f>
        <v>525000</v>
      </c>
      <c r="U10" s="20" t="n">
        <f aca="false">U8*Assumptions!$C$7</f>
        <v>551250</v>
      </c>
      <c r="V10" s="20" t="n">
        <f aca="false">V8*Assumptions!$C$7</f>
        <v>577500</v>
      </c>
      <c r="W10" s="20" t="n">
        <f aca="false">W8*Assumptions!$C$7</f>
        <v>603750</v>
      </c>
      <c r="X10" s="20" t="n">
        <f aca="false">X8*Assumptions!$C$7</f>
        <v>630000</v>
      </c>
      <c r="Y10" s="20" t="n">
        <f aca="false">Y8*Assumptions!$C$7</f>
        <v>656250</v>
      </c>
      <c r="Z10" s="20" t="n">
        <f aca="false">Z8*Assumptions!$C$7</f>
        <v>682500</v>
      </c>
      <c r="AA10" s="20" t="n">
        <f aca="false">AA8*Assumptions!$C$7</f>
        <v>717500</v>
      </c>
      <c r="AB10" s="20" t="n">
        <f aca="false">AB8*Assumptions!$C$7</f>
        <v>752500</v>
      </c>
      <c r="AC10" s="20" t="n">
        <f aca="false">AC8*Assumptions!$C$7</f>
        <v>787500</v>
      </c>
      <c r="AD10" s="20" t="n">
        <f aca="false">AD8*Assumptions!$C$7</f>
        <v>813750</v>
      </c>
      <c r="AE10" s="20" t="n">
        <f aca="false">AE8*Assumptions!$C$7</f>
        <v>843500</v>
      </c>
      <c r="AF10" s="20" t="n">
        <f aca="false">AF8*Assumptions!$C$7</f>
        <v>875000</v>
      </c>
    </row>
    <row r="11" customFormat="false" ht="15" hidden="false" customHeight="true" outlineLevel="0" collapsed="false">
      <c r="B11" s="22" t="s">
        <v>332</v>
      </c>
      <c r="C11" s="20" t="n">
        <f aca="false">C10*30.4</f>
        <v>42560</v>
      </c>
      <c r="D11" s="20" t="n">
        <f aca="false">D10*30.4</f>
        <v>95760</v>
      </c>
      <c r="E11" s="20" t="n">
        <f aca="false">E10*30.4</f>
        <v>170240</v>
      </c>
      <c r="F11" s="20" t="n">
        <f aca="false">F10*30.4</f>
        <v>276640</v>
      </c>
      <c r="G11" s="20" t="n">
        <f aca="false">G10*30.4</f>
        <v>399000</v>
      </c>
      <c r="H11" s="20" t="n">
        <f aca="false">H10*30.4</f>
        <v>532000</v>
      </c>
      <c r="I11" s="20" t="n">
        <f aca="false">I10*30.4</f>
        <v>798000</v>
      </c>
      <c r="J11" s="20" t="n">
        <f aca="false">J10*30.4</f>
        <v>1223600</v>
      </c>
      <c r="K11" s="20" t="n">
        <f aca="false">K10*30.4</f>
        <v>1808800</v>
      </c>
      <c r="L11" s="20" t="n">
        <f aca="false">L10*30.4</f>
        <v>2660000</v>
      </c>
      <c r="M11" s="20" t="n">
        <f aca="false">M10*30.4</f>
        <v>3830400</v>
      </c>
      <c r="N11" s="20" t="n">
        <f aca="false">N10*30.4</f>
        <v>5320000</v>
      </c>
      <c r="O11" s="20" t="n">
        <f aca="false">O10*30.4</f>
        <v>6384000</v>
      </c>
      <c r="P11" s="20" t="n">
        <f aca="false">P10*30.4</f>
        <v>7714000</v>
      </c>
      <c r="Q11" s="20" t="n">
        <f aca="false">Q10*30.4</f>
        <v>9150400</v>
      </c>
      <c r="R11" s="20" t="n">
        <f aca="false">R10*30.4</f>
        <v>10906000</v>
      </c>
      <c r="S11" s="20" t="n">
        <f aca="false">S10*30.4</f>
        <v>13300000</v>
      </c>
      <c r="T11" s="20" t="n">
        <f aca="false">T10*30.4</f>
        <v>15960000</v>
      </c>
      <c r="U11" s="20" t="n">
        <f aca="false">U10*30.4</f>
        <v>16758000</v>
      </c>
      <c r="V11" s="20" t="n">
        <f aca="false">V10*30.4</f>
        <v>17556000</v>
      </c>
      <c r="W11" s="20" t="n">
        <f aca="false">W10*30.4</f>
        <v>18354000</v>
      </c>
      <c r="X11" s="20" t="n">
        <f aca="false">X10*30.4</f>
        <v>19152000</v>
      </c>
      <c r="Y11" s="20" t="n">
        <f aca="false">Y10*30.4</f>
        <v>19950000</v>
      </c>
      <c r="Z11" s="20" t="n">
        <f aca="false">Z10*30.4</f>
        <v>20748000</v>
      </c>
      <c r="AA11" s="20" t="n">
        <f aca="false">AA10*30.4</f>
        <v>21812000</v>
      </c>
      <c r="AB11" s="20" t="n">
        <f aca="false">AB10*30.4</f>
        <v>22876000</v>
      </c>
      <c r="AC11" s="20" t="n">
        <f aca="false">AC10*30.4</f>
        <v>23940000</v>
      </c>
      <c r="AD11" s="20" t="n">
        <f aca="false">AD10*30.4</f>
        <v>24738000</v>
      </c>
      <c r="AE11" s="20" t="n">
        <f aca="false">AE10*30.4</f>
        <v>25642400</v>
      </c>
      <c r="AF11" s="20" t="n">
        <f aca="false">AF10*30.4</f>
        <v>26600000</v>
      </c>
    </row>
    <row r="12" customFormat="false" ht="15" hidden="false" customHeight="true" outlineLevel="0" collapsed="false">
      <c r="B12" s="1" t="s">
        <v>333</v>
      </c>
      <c r="C12" s="20" t="n">
        <f aca="false">C11*Assumptions!$C$12</f>
        <v>23408</v>
      </c>
      <c r="D12" s="20" t="n">
        <f aca="false">D11*Assumptions!$C$12</f>
        <v>52668</v>
      </c>
      <c r="E12" s="20" t="n">
        <f aca="false">E11*Assumptions!$C$12</f>
        <v>93632</v>
      </c>
      <c r="F12" s="20" t="n">
        <f aca="false">F11*Assumptions!$C$12</f>
        <v>152152</v>
      </c>
      <c r="G12" s="20" t="n">
        <f aca="false">G11*Assumptions!$C$12</f>
        <v>219450</v>
      </c>
      <c r="H12" s="20" t="n">
        <f aca="false">H11*Assumptions!$C$12</f>
        <v>292600</v>
      </c>
      <c r="I12" s="20" t="n">
        <f aca="false">I11*Assumptions!$C$12</f>
        <v>438900</v>
      </c>
      <c r="J12" s="20" t="n">
        <f aca="false">J11*Assumptions!$C$12</f>
        <v>672980</v>
      </c>
      <c r="K12" s="20" t="n">
        <f aca="false">K11*Assumptions!$C$12</f>
        <v>994840</v>
      </c>
      <c r="L12" s="20" t="n">
        <f aca="false">L11*Assumptions!$C$12</f>
        <v>1463000</v>
      </c>
      <c r="M12" s="20" t="n">
        <f aca="false">M11*Assumptions!$C$12</f>
        <v>2106720</v>
      </c>
      <c r="N12" s="20" t="n">
        <f aca="false">N11*Assumptions!$C$12</f>
        <v>2926000</v>
      </c>
      <c r="O12" s="20" t="n">
        <f aca="false">O11*Assumptions!$C$12</f>
        <v>3511200</v>
      </c>
      <c r="P12" s="20" t="n">
        <f aca="false">P11*Assumptions!$C$12</f>
        <v>4242700</v>
      </c>
      <c r="Q12" s="20" t="n">
        <f aca="false">Q11*Assumptions!$C$12</f>
        <v>5032720</v>
      </c>
      <c r="R12" s="20" t="n">
        <f aca="false">R11*Assumptions!$C$12</f>
        <v>5998300</v>
      </c>
      <c r="S12" s="20" t="n">
        <f aca="false">S11*Assumptions!$C$12</f>
        <v>7315000</v>
      </c>
      <c r="T12" s="20" t="n">
        <f aca="false">T11*Assumptions!$C$12</f>
        <v>8778000</v>
      </c>
      <c r="U12" s="20" t="n">
        <f aca="false">U11*Assumptions!$C$12</f>
        <v>9216900</v>
      </c>
      <c r="V12" s="20" t="n">
        <f aca="false">V11*Assumptions!$C$12</f>
        <v>9655800</v>
      </c>
      <c r="W12" s="20" t="n">
        <f aca="false">W11*Assumptions!$C$12</f>
        <v>10094700</v>
      </c>
      <c r="X12" s="20" t="n">
        <f aca="false">X11*Assumptions!$C$12</f>
        <v>10533600</v>
      </c>
      <c r="Y12" s="20" t="n">
        <f aca="false">Y11*Assumptions!$C$12</f>
        <v>10972500</v>
      </c>
      <c r="Z12" s="20" t="n">
        <f aca="false">Z11*Assumptions!$C$12</f>
        <v>11411400</v>
      </c>
      <c r="AA12" s="20" t="n">
        <f aca="false">AA11*Assumptions!$C$12</f>
        <v>11996600</v>
      </c>
      <c r="AB12" s="20" t="n">
        <f aca="false">AB11*Assumptions!$C$12</f>
        <v>12581800</v>
      </c>
      <c r="AC12" s="20" t="n">
        <f aca="false">AC11*Assumptions!$C$12</f>
        <v>13167000</v>
      </c>
      <c r="AD12" s="20" t="n">
        <f aca="false">AD11*Assumptions!$C$12</f>
        <v>13605900</v>
      </c>
      <c r="AE12" s="20" t="n">
        <f aca="false">AE11*Assumptions!$C$12</f>
        <v>14103320</v>
      </c>
      <c r="AF12" s="20" t="n">
        <f aca="false">AF11*Assumptions!$C$12</f>
        <v>14630000</v>
      </c>
    </row>
    <row r="13" customFormat="false" ht="15" hidden="false" customHeight="true" outlineLevel="0" collapsed="false">
      <c r="B13" s="1" t="s">
        <v>334</v>
      </c>
      <c r="C13" s="20" t="n">
        <f aca="false">C11*Assumptions!$C$13</f>
        <v>14896</v>
      </c>
      <c r="D13" s="20" t="n">
        <f aca="false">D11*Assumptions!$C$13</f>
        <v>33516</v>
      </c>
      <c r="E13" s="20" t="n">
        <f aca="false">E11*Assumptions!$C$13</f>
        <v>59584</v>
      </c>
      <c r="F13" s="20" t="n">
        <f aca="false">F11*Assumptions!$C$13</f>
        <v>96824</v>
      </c>
      <c r="G13" s="20" t="n">
        <f aca="false">G11*Assumptions!$C$13</f>
        <v>139650</v>
      </c>
      <c r="H13" s="20" t="n">
        <f aca="false">H11*Assumptions!$C$13</f>
        <v>186200</v>
      </c>
      <c r="I13" s="20" t="n">
        <f aca="false">I11*Assumptions!$C$13</f>
        <v>279300</v>
      </c>
      <c r="J13" s="20" t="n">
        <f aca="false">J11*Assumptions!$C$13</f>
        <v>428260</v>
      </c>
      <c r="K13" s="20" t="n">
        <f aca="false">K11*Assumptions!$C$13</f>
        <v>633080</v>
      </c>
      <c r="L13" s="20" t="n">
        <f aca="false">L11*Assumptions!$C$13</f>
        <v>931000</v>
      </c>
      <c r="M13" s="20" t="n">
        <f aca="false">M11*Assumptions!$C$13</f>
        <v>1340640</v>
      </c>
      <c r="N13" s="20" t="n">
        <f aca="false">N11*Assumptions!$C$13</f>
        <v>1862000</v>
      </c>
      <c r="O13" s="20" t="n">
        <f aca="false">O11*Assumptions!$C$13</f>
        <v>2234400</v>
      </c>
      <c r="P13" s="20" t="n">
        <f aca="false">P11*Assumptions!$C$13</f>
        <v>2699900</v>
      </c>
      <c r="Q13" s="20" t="n">
        <f aca="false">Q11*Assumptions!$C$13</f>
        <v>3202640</v>
      </c>
      <c r="R13" s="20" t="n">
        <f aca="false">R11*Assumptions!$C$13</f>
        <v>3817100</v>
      </c>
      <c r="S13" s="20" t="n">
        <f aca="false">S11*Assumptions!$C$13</f>
        <v>4655000</v>
      </c>
      <c r="T13" s="20" t="n">
        <f aca="false">T11*Assumptions!$C$13</f>
        <v>5586000</v>
      </c>
      <c r="U13" s="20" t="n">
        <f aca="false">U11*Assumptions!$C$13</f>
        <v>5865300</v>
      </c>
      <c r="V13" s="20" t="n">
        <f aca="false">V11*Assumptions!$C$13</f>
        <v>6144600</v>
      </c>
      <c r="W13" s="20" t="n">
        <f aca="false">W11*Assumptions!$C$13</f>
        <v>6423900</v>
      </c>
      <c r="X13" s="20" t="n">
        <f aca="false">X11*Assumptions!$C$13</f>
        <v>6703200</v>
      </c>
      <c r="Y13" s="20" t="n">
        <f aca="false">Y11*Assumptions!$C$13</f>
        <v>6982500</v>
      </c>
      <c r="Z13" s="20" t="n">
        <f aca="false">Z11*Assumptions!$C$13</f>
        <v>7261800</v>
      </c>
      <c r="AA13" s="20" t="n">
        <f aca="false">AA11*Assumptions!$C$13</f>
        <v>7634200</v>
      </c>
      <c r="AB13" s="20" t="n">
        <f aca="false">AB11*Assumptions!$C$13</f>
        <v>8006600</v>
      </c>
      <c r="AC13" s="20" t="n">
        <f aca="false">AC11*Assumptions!$C$13</f>
        <v>8379000</v>
      </c>
      <c r="AD13" s="20" t="n">
        <f aca="false">AD11*Assumptions!$C$13</f>
        <v>8658300</v>
      </c>
      <c r="AE13" s="20" t="n">
        <f aca="false">AE11*Assumptions!$C$13</f>
        <v>8974840</v>
      </c>
      <c r="AF13" s="20" t="n">
        <f aca="false">AF11*Assumptions!$C$13</f>
        <v>9310000</v>
      </c>
    </row>
    <row r="14" customFormat="false" ht="15" hidden="false" customHeight="true" outlineLevel="0" collapsed="false">
      <c r="B14" s="1" t="s">
        <v>335</v>
      </c>
      <c r="C14" s="20" t="n">
        <f aca="false">C11*Assumptions!$C$14</f>
        <v>4256</v>
      </c>
      <c r="D14" s="20" t="n">
        <f aca="false">D11*Assumptions!$C$14</f>
        <v>9576</v>
      </c>
      <c r="E14" s="20" t="n">
        <f aca="false">E11*Assumptions!$C$14</f>
        <v>17024</v>
      </c>
      <c r="F14" s="20" t="n">
        <f aca="false">F11*Assumptions!$C$14</f>
        <v>27664</v>
      </c>
      <c r="G14" s="20" t="n">
        <f aca="false">G11*Assumptions!$C$14</f>
        <v>39900</v>
      </c>
      <c r="H14" s="20" t="n">
        <f aca="false">H11*Assumptions!$C$14</f>
        <v>53200</v>
      </c>
      <c r="I14" s="20" t="n">
        <f aca="false">I11*Assumptions!$C$14</f>
        <v>79800</v>
      </c>
      <c r="J14" s="20" t="n">
        <f aca="false">J11*Assumptions!$C$14</f>
        <v>122360</v>
      </c>
      <c r="K14" s="20" t="n">
        <f aca="false">K11*Assumptions!$C$14</f>
        <v>180880</v>
      </c>
      <c r="L14" s="20" t="n">
        <f aca="false">L11*Assumptions!$C$14</f>
        <v>266000</v>
      </c>
      <c r="M14" s="20" t="n">
        <f aca="false">M11*Assumptions!$C$14</f>
        <v>383040</v>
      </c>
      <c r="N14" s="20" t="n">
        <f aca="false">N11*Assumptions!$C$14</f>
        <v>532000</v>
      </c>
      <c r="O14" s="20" t="n">
        <f aca="false">O11*Assumptions!$C$14</f>
        <v>638400</v>
      </c>
      <c r="P14" s="20" t="n">
        <f aca="false">P11*Assumptions!$C$14</f>
        <v>771400</v>
      </c>
      <c r="Q14" s="20" t="n">
        <f aca="false">Q11*Assumptions!$C$14</f>
        <v>915040</v>
      </c>
      <c r="R14" s="20" t="n">
        <f aca="false">R11*Assumptions!$C$14</f>
        <v>1090600</v>
      </c>
      <c r="S14" s="20" t="n">
        <f aca="false">S11*Assumptions!$C$14</f>
        <v>1330000</v>
      </c>
      <c r="T14" s="20" t="n">
        <f aca="false">T11*Assumptions!$C$14</f>
        <v>1596000</v>
      </c>
      <c r="U14" s="20" t="n">
        <f aca="false">U11*Assumptions!$C$14</f>
        <v>1675800</v>
      </c>
      <c r="V14" s="20" t="n">
        <f aca="false">V11*Assumptions!$C$14</f>
        <v>1755600</v>
      </c>
      <c r="W14" s="20" t="n">
        <f aca="false">W11*Assumptions!$C$14</f>
        <v>1835400</v>
      </c>
      <c r="X14" s="20" t="n">
        <f aca="false">X11*Assumptions!$C$14</f>
        <v>1915200</v>
      </c>
      <c r="Y14" s="20" t="n">
        <f aca="false">Y11*Assumptions!$C$14</f>
        <v>1995000</v>
      </c>
      <c r="Z14" s="20" t="n">
        <f aca="false">Z11*Assumptions!$C$14</f>
        <v>2074800</v>
      </c>
      <c r="AA14" s="20" t="n">
        <f aca="false">AA11*Assumptions!$C$14</f>
        <v>2181200</v>
      </c>
      <c r="AB14" s="20" t="n">
        <f aca="false">AB11*Assumptions!$C$14</f>
        <v>2287600</v>
      </c>
      <c r="AC14" s="20" t="n">
        <f aca="false">AC11*Assumptions!$C$14</f>
        <v>2394000</v>
      </c>
      <c r="AD14" s="20" t="n">
        <f aca="false">AD11*Assumptions!$C$14</f>
        <v>2473800</v>
      </c>
      <c r="AE14" s="20" t="n">
        <f aca="false">AE11*Assumptions!$C$14</f>
        <v>2564240</v>
      </c>
      <c r="AF14" s="20" t="n">
        <f aca="false">AF11*Assumptions!$C$14</f>
        <v>2660000</v>
      </c>
    </row>
    <row r="15" customFormat="false" ht="15" hidden="false" customHeight="true" outlineLevel="0" collapsed="false">
      <c r="B15" s="1" t="s">
        <v>336</v>
      </c>
      <c r="C15" s="20" t="n">
        <f aca="false">C12*Assumptions!$C$16/1048576+C13*Assumptions!$C$18/1048576+C14*Assumptions!$C$17/1048576</f>
        <v>11.0298919677734</v>
      </c>
      <c r="D15" s="20" t="n">
        <f aca="false">D12*Assumptions!$C$16/1048576+D13*Assumptions!$C$18/1048576+D14*Assumptions!$C$17/1048576</f>
        <v>24.8172569274902</v>
      </c>
      <c r="E15" s="20" t="n">
        <f aca="false">E12*Assumptions!$C$16/1048576+E13*Assumptions!$C$18/1048576+E14*Assumptions!$C$17/1048576</f>
        <v>44.1195678710938</v>
      </c>
      <c r="F15" s="20" t="n">
        <f aca="false">F12*Assumptions!$C$16/1048576+F13*Assumptions!$C$18/1048576+F14*Assumptions!$C$17/1048576</f>
        <v>71.6942977905273</v>
      </c>
      <c r="G15" s="20" t="n">
        <f aca="false">G12*Assumptions!$C$16/1048576+G13*Assumptions!$C$18/1048576+G14*Assumptions!$C$17/1048576</f>
        <v>103.405237197876</v>
      </c>
      <c r="H15" s="20" t="n">
        <f aca="false">H12*Assumptions!$C$16/1048576+H13*Assumptions!$C$18/1048576+H14*Assumptions!$C$17/1048576</f>
        <v>137.873649597168</v>
      </c>
      <c r="I15" s="20" t="n">
        <f aca="false">I12*Assumptions!$C$16/1048576+I13*Assumptions!$C$18/1048576+I14*Assumptions!$C$17/1048576</f>
        <v>206.810474395752</v>
      </c>
      <c r="J15" s="20" t="n">
        <f aca="false">J12*Assumptions!$C$16/1048576+J13*Assumptions!$C$18/1048576+J14*Assumptions!$C$17/1048576</f>
        <v>317.109394073486</v>
      </c>
      <c r="K15" s="20" t="n">
        <f aca="false">K12*Assumptions!$C$16/1048576+K13*Assumptions!$C$18/1048576+K14*Assumptions!$C$17/1048576</f>
        <v>468.770408630371</v>
      </c>
      <c r="L15" s="20" t="n">
        <f aca="false">L12*Assumptions!$C$16/1048576+L13*Assumptions!$C$18/1048576+L14*Assumptions!$C$17/1048576</f>
        <v>689.36824798584</v>
      </c>
      <c r="M15" s="20" t="n">
        <f aca="false">M12*Assumptions!$C$16/1048576+M13*Assumptions!$C$18/1048576+M14*Assumptions!$C$17/1048576</f>
        <v>992.690277099609</v>
      </c>
      <c r="N15" s="20" t="n">
        <f aca="false">N12*Assumptions!$C$16/1048576+N13*Assumptions!$C$18/1048576+N14*Assumptions!$C$17/1048576</f>
        <v>1378.73649597168</v>
      </c>
      <c r="O15" s="20" t="n">
        <f aca="false">O12*Assumptions!$C$16/1048576+O13*Assumptions!$C$18/1048576+O14*Assumptions!$C$17/1048576</f>
        <v>1654.48379516602</v>
      </c>
      <c r="P15" s="20" t="n">
        <f aca="false">P12*Assumptions!$C$16/1048576+P13*Assumptions!$C$18/1048576+P14*Assumptions!$C$17/1048576</f>
        <v>1999.16791915894</v>
      </c>
      <c r="Q15" s="20" t="n">
        <f aca="false">Q12*Assumptions!$C$16/1048576+Q13*Assumptions!$C$18/1048576+Q14*Assumptions!$C$17/1048576</f>
        <v>2371.42677307129</v>
      </c>
      <c r="R15" s="20" t="n">
        <f aca="false">R12*Assumptions!$C$16/1048576+R13*Assumptions!$C$18/1048576+R14*Assumptions!$C$17/1048576</f>
        <v>2826.40981674194</v>
      </c>
      <c r="S15" s="20" t="n">
        <f aca="false">S12*Assumptions!$C$16/1048576+S13*Assumptions!$C$18/1048576+S14*Assumptions!$C$17/1048576</f>
        <v>3446.8412399292</v>
      </c>
      <c r="T15" s="20" t="n">
        <f aca="false">T12*Assumptions!$C$16/1048576+T13*Assumptions!$C$18/1048576+T14*Assumptions!$C$17/1048576</f>
        <v>4136.20948791504</v>
      </c>
      <c r="U15" s="20" t="n">
        <f aca="false">U12*Assumptions!$C$16/1048576+U13*Assumptions!$C$18/1048576+U14*Assumptions!$C$17/1048576</f>
        <v>4343.01996231079</v>
      </c>
      <c r="V15" s="20" t="n">
        <f aca="false">V12*Assumptions!$C$16/1048576+V13*Assumptions!$C$18/1048576+V14*Assumptions!$C$17/1048576</f>
        <v>4549.83043670654</v>
      </c>
      <c r="W15" s="20" t="n">
        <f aca="false">W12*Assumptions!$C$16/1048576+W13*Assumptions!$C$18/1048576+W14*Assumptions!$C$17/1048576</f>
        <v>4756.6409111023</v>
      </c>
      <c r="X15" s="20" t="n">
        <f aca="false">X12*Assumptions!$C$16/1048576+X13*Assumptions!$C$18/1048576+X14*Assumptions!$C$17/1048576</f>
        <v>4963.45138549805</v>
      </c>
      <c r="Y15" s="20" t="n">
        <f aca="false">Y12*Assumptions!$C$16/1048576+Y13*Assumptions!$C$18/1048576+Y14*Assumptions!$C$17/1048576</f>
        <v>5170.2618598938</v>
      </c>
      <c r="Z15" s="20" t="n">
        <f aca="false">Z12*Assumptions!$C$16/1048576+Z13*Assumptions!$C$18/1048576+Z14*Assumptions!$C$17/1048576</f>
        <v>5377.07233428955</v>
      </c>
      <c r="AA15" s="20" t="n">
        <f aca="false">AA12*Assumptions!$C$16/1048576+AA13*Assumptions!$C$18/1048576+AA14*Assumptions!$C$17/1048576</f>
        <v>5652.81963348389</v>
      </c>
      <c r="AB15" s="20" t="n">
        <f aca="false">AB12*Assumptions!$C$16/1048576+AB13*Assumptions!$C$18/1048576+AB14*Assumptions!$C$17/1048576</f>
        <v>5928.56693267822</v>
      </c>
      <c r="AC15" s="20" t="n">
        <f aca="false">AC12*Assumptions!$C$16/1048576+AC13*Assumptions!$C$18/1048576+AC14*Assumptions!$C$17/1048576</f>
        <v>6204.31423187256</v>
      </c>
      <c r="AD15" s="20" t="n">
        <f aca="false">AD12*Assumptions!$C$16/1048576+AD13*Assumptions!$C$18/1048576+AD14*Assumptions!$C$17/1048576</f>
        <v>6411.12470626831</v>
      </c>
      <c r="AE15" s="20" t="n">
        <f aca="false">AE12*Assumptions!$C$16/1048576+AE13*Assumptions!$C$18/1048576+AE14*Assumptions!$C$17/1048576</f>
        <v>6645.5099105835</v>
      </c>
      <c r="AF15" s="20" t="n">
        <f aca="false">AF12*Assumptions!$C$16/1048576+AF13*Assumptions!$C$18/1048576+AF14*Assumptions!$C$17/1048576</f>
        <v>6893.6824798584</v>
      </c>
    </row>
    <row r="16" customFormat="false" ht="15" hidden="false" customHeight="true" outlineLevel="0" collapsed="false">
      <c r="B16" s="22" t="s">
        <v>337</v>
      </c>
      <c r="C16" s="20" t="n">
        <f aca="false">C15</f>
        <v>11.0298919677734</v>
      </c>
      <c r="D16" s="20" t="n">
        <f aca="false">C16+D15</f>
        <v>35.8471488952637</v>
      </c>
      <c r="E16" s="20" t="n">
        <f aca="false">D16+E15</f>
        <v>79.9667167663574</v>
      </c>
      <c r="F16" s="20" t="n">
        <f aca="false">E16+F15</f>
        <v>151.661014556885</v>
      </c>
      <c r="G16" s="20" t="n">
        <f aca="false">F16+G15</f>
        <v>255.066251754761</v>
      </c>
      <c r="H16" s="20" t="n">
        <f aca="false">G16+H15</f>
        <v>392.939901351929</v>
      </c>
      <c r="I16" s="20" t="n">
        <f aca="false">H16+I15</f>
        <v>599.750375747681</v>
      </c>
      <c r="J16" s="20" t="n">
        <f aca="false">I16+J15</f>
        <v>916.859769821167</v>
      </c>
      <c r="K16" s="20" t="n">
        <f aca="false">J16+K15</f>
        <v>1385.63017845154</v>
      </c>
      <c r="L16" s="20" t="n">
        <f aca="false">K16+L15</f>
        <v>2074.99842643738</v>
      </c>
      <c r="M16" s="20" t="n">
        <f aca="false">L16+M15</f>
        <v>3067.68870353699</v>
      </c>
      <c r="N16" s="20" t="n">
        <f aca="false">M16+N15</f>
        <v>4446.42519950867</v>
      </c>
      <c r="O16" s="20" t="n">
        <f aca="false">N16+O15</f>
        <v>6100.90899467468</v>
      </c>
      <c r="P16" s="20" t="n">
        <f aca="false">O16+P15</f>
        <v>8100.07691383362</v>
      </c>
      <c r="Q16" s="20" t="n">
        <f aca="false">P16+Q15</f>
        <v>10471.5036869049</v>
      </c>
      <c r="R16" s="20" t="n">
        <f aca="false">Q16+R15</f>
        <v>13297.9135036469</v>
      </c>
      <c r="S16" s="20" t="n">
        <f aca="false">R16+S15</f>
        <v>16744.7547435761</v>
      </c>
      <c r="T16" s="20" t="n">
        <f aca="false">S16+T15</f>
        <v>20880.9642314911</v>
      </c>
      <c r="U16" s="20" t="n">
        <f aca="false">T16+U15</f>
        <v>25223.9841938019</v>
      </c>
      <c r="V16" s="20" t="n">
        <f aca="false">U16+V15</f>
        <v>29773.8146305084</v>
      </c>
      <c r="W16" s="20" t="n">
        <f aca="false">V16+W15</f>
        <v>34530.4555416107</v>
      </c>
      <c r="X16" s="20" t="n">
        <f aca="false">W16+X15</f>
        <v>39493.9069271088</v>
      </c>
      <c r="Y16" s="20" t="n">
        <f aca="false">X16+Y15</f>
        <v>44664.1687870026</v>
      </c>
      <c r="Z16" s="20" t="n">
        <f aca="false">Y16+Z15</f>
        <v>50041.2411212921</v>
      </c>
      <c r="AA16" s="20" t="n">
        <f aca="false">Z16+AA15</f>
        <v>55694.060754776</v>
      </c>
      <c r="AB16" s="20" t="n">
        <f aca="false">AA16+AB15</f>
        <v>61622.6276874542</v>
      </c>
      <c r="AC16" s="20" t="n">
        <f aca="false">AB16+AC15</f>
        <v>67826.9419193268</v>
      </c>
      <c r="AD16" s="20" t="n">
        <f aca="false">AC16+AD15</f>
        <v>74238.0666255951</v>
      </c>
      <c r="AE16" s="20" t="n">
        <f aca="false">AD16+AE15</f>
        <v>80883.5765361786</v>
      </c>
      <c r="AF16" s="20" t="n">
        <f aca="false">AE16+AF15</f>
        <v>87777.259016037</v>
      </c>
    </row>
    <row r="17" customFormat="false" ht="15" hidden="false" customHeight="true" outlineLevel="0" collapsed="false">
      <c r="B17" s="1" t="s">
        <v>338</v>
      </c>
      <c r="C17" s="20" t="n">
        <f aca="false">C8*Assumptions!$C$20*Assumptions!$C$19/1048576*30.4</f>
        <v>333.984375</v>
      </c>
      <c r="D17" s="20" t="n">
        <f aca="false">D8*Assumptions!$C$20*Assumptions!$C$19/1048576*30.4</f>
        <v>751.46484375</v>
      </c>
      <c r="E17" s="20" t="n">
        <f aca="false">E8*Assumptions!$C$20*Assumptions!$C$19/1048576*30.4</f>
        <v>1335.9375</v>
      </c>
      <c r="F17" s="20" t="n">
        <f aca="false">F8*Assumptions!$C$20*Assumptions!$C$19/1048576*30.4</f>
        <v>2170.8984375</v>
      </c>
      <c r="G17" s="20" t="n">
        <f aca="false">G8*Assumptions!$C$20*Assumptions!$C$19/1048576*30.4</f>
        <v>3131.103515625</v>
      </c>
      <c r="H17" s="20" t="n">
        <f aca="false">H8*Assumptions!$C$20*Assumptions!$C$19/1048576*30.4</f>
        <v>4174.8046875</v>
      </c>
      <c r="I17" s="20" t="n">
        <f aca="false">I8*Assumptions!$C$20*Assumptions!$C$19/1048576*30.4</f>
        <v>6262.20703125</v>
      </c>
      <c r="J17" s="20" t="n">
        <f aca="false">J8*Assumptions!$C$20*Assumptions!$C$19/1048576*30.4</f>
        <v>9602.05078125</v>
      </c>
      <c r="K17" s="20" t="n">
        <f aca="false">K8*Assumptions!$C$20*Assumptions!$C$19/1048576*30.4</f>
        <v>14194.3359375</v>
      </c>
      <c r="L17" s="20" t="n">
        <f aca="false">L8*Assumptions!$C$20*Assumptions!$C$19/1048576*30.4</f>
        <v>20874.0234375</v>
      </c>
      <c r="M17" s="20" t="n">
        <f aca="false">M8*Assumptions!$C$20*Assumptions!$C$19/1048576*30.4</f>
        <v>30058.59375</v>
      </c>
      <c r="N17" s="20" t="n">
        <f aca="false">N8*Assumptions!$C$20*Assumptions!$C$19/1048576*30.4</f>
        <v>41748.046875</v>
      </c>
      <c r="O17" s="20" t="n">
        <f aca="false">O8*Assumptions!$C$20*Assumptions!$C$19/1048576*30.4</f>
        <v>50097.65625</v>
      </c>
      <c r="P17" s="20" t="n">
        <f aca="false">P8*Assumptions!$C$20*Assumptions!$C$19/1048576*30.4</f>
        <v>60534.66796875</v>
      </c>
      <c r="Q17" s="20" t="n">
        <f aca="false">Q8*Assumptions!$C$20*Assumptions!$C$19/1048576*30.4</f>
        <v>71806.640625</v>
      </c>
      <c r="R17" s="20" t="n">
        <f aca="false">R8*Assumptions!$C$20*Assumptions!$C$19/1048576*30.4</f>
        <v>85583.49609375</v>
      </c>
      <c r="S17" s="20" t="n">
        <f aca="false">S8*Assumptions!$C$20*Assumptions!$C$19/1048576*30.4</f>
        <v>104370.1171875</v>
      </c>
      <c r="T17" s="20" t="n">
        <f aca="false">T8*Assumptions!$C$20*Assumptions!$C$19/1048576*30.4</f>
        <v>125244.140625</v>
      </c>
      <c r="U17" s="20" t="n">
        <f aca="false">U8*Assumptions!$C$20*Assumptions!$C$19/1048576*30.4</f>
        <v>131506.34765625</v>
      </c>
      <c r="V17" s="20" t="n">
        <f aca="false">V8*Assumptions!$C$20*Assumptions!$C$19/1048576*30.4</f>
        <v>137768.5546875</v>
      </c>
      <c r="W17" s="20" t="n">
        <f aca="false">W8*Assumptions!$C$20*Assumptions!$C$19/1048576*30.4</f>
        <v>144030.76171875</v>
      </c>
      <c r="X17" s="20" t="n">
        <f aca="false">X8*Assumptions!$C$20*Assumptions!$C$19/1048576*30.4</f>
        <v>150292.96875</v>
      </c>
      <c r="Y17" s="20" t="n">
        <f aca="false">Y8*Assumptions!$C$20*Assumptions!$C$19/1048576*30.4</f>
        <v>156555.17578125</v>
      </c>
      <c r="Z17" s="20" t="n">
        <f aca="false">Z8*Assumptions!$C$20*Assumptions!$C$19/1048576*30.4</f>
        <v>162817.3828125</v>
      </c>
      <c r="AA17" s="20" t="n">
        <f aca="false">AA8*Assumptions!$C$20*Assumptions!$C$19/1048576*30.4</f>
        <v>171166.9921875</v>
      </c>
      <c r="AB17" s="20" t="n">
        <f aca="false">AB8*Assumptions!$C$20*Assumptions!$C$19/1048576*30.4</f>
        <v>179516.6015625</v>
      </c>
      <c r="AC17" s="20" t="n">
        <f aca="false">AC8*Assumptions!$C$20*Assumptions!$C$19/1048576*30.4</f>
        <v>187866.2109375</v>
      </c>
      <c r="AD17" s="20" t="n">
        <f aca="false">AD8*Assumptions!$C$20*Assumptions!$C$19/1048576*30.4</f>
        <v>194128.41796875</v>
      </c>
      <c r="AE17" s="20" t="n">
        <f aca="false">AE8*Assumptions!$C$20*Assumptions!$C$19/1048576*30.4</f>
        <v>201225.5859375</v>
      </c>
      <c r="AF17" s="20" t="n">
        <f aca="false">AF8*Assumptions!$C$20*Assumptions!$C$19/1048576*30.4</f>
        <v>208740.234375</v>
      </c>
    </row>
    <row r="18" customFormat="false" ht="15" hidden="false" customHeight="true" outlineLevel="0" collapsed="false">
      <c r="B18" s="1" t="s">
        <v>339</v>
      </c>
      <c r="C18" s="39" t="n">
        <f aca="false">C8*Assumptions!$C$22*30.4/1000000</f>
        <v>3.648</v>
      </c>
      <c r="D18" s="39" t="n">
        <f aca="false">D8*Assumptions!$C$22*30.4/1000000</f>
        <v>8.208</v>
      </c>
      <c r="E18" s="39" t="n">
        <f aca="false">E8*Assumptions!$C$22*30.4/1000000</f>
        <v>14.592</v>
      </c>
      <c r="F18" s="39" t="n">
        <f aca="false">F8*Assumptions!$C$22*30.4/1000000</f>
        <v>23.712</v>
      </c>
      <c r="G18" s="39" t="n">
        <f aca="false">G8*Assumptions!$C$22*30.4/1000000</f>
        <v>34.2</v>
      </c>
      <c r="H18" s="39" t="n">
        <f aca="false">H8*Assumptions!$C$22*30.4/1000000</f>
        <v>45.6</v>
      </c>
      <c r="I18" s="39" t="n">
        <f aca="false">I8*Assumptions!$C$22*30.4/1000000</f>
        <v>68.4</v>
      </c>
      <c r="J18" s="39" t="n">
        <f aca="false">J8*Assumptions!$C$22*30.4/1000000</f>
        <v>104.88</v>
      </c>
      <c r="K18" s="39" t="n">
        <f aca="false">K8*Assumptions!$C$22*30.4/1000000</f>
        <v>155.04</v>
      </c>
      <c r="L18" s="39" t="n">
        <f aca="false">L8*Assumptions!$C$22*30.4/1000000</f>
        <v>228</v>
      </c>
      <c r="M18" s="39" t="n">
        <f aca="false">M8*Assumptions!$C$22*30.4/1000000</f>
        <v>328.32</v>
      </c>
      <c r="N18" s="39" t="n">
        <f aca="false">N8*Assumptions!$C$22*30.4/1000000</f>
        <v>456</v>
      </c>
      <c r="O18" s="39" t="n">
        <f aca="false">O8*Assumptions!$C$22*30.4/1000000</f>
        <v>547.2</v>
      </c>
      <c r="P18" s="39" t="n">
        <f aca="false">P8*Assumptions!$C$22*30.4/1000000</f>
        <v>661.2</v>
      </c>
      <c r="Q18" s="39" t="n">
        <f aca="false">Q8*Assumptions!$C$22*30.4/1000000</f>
        <v>784.32</v>
      </c>
      <c r="R18" s="39" t="n">
        <f aca="false">R8*Assumptions!$C$22*30.4/1000000</f>
        <v>934.8</v>
      </c>
      <c r="S18" s="39" t="n">
        <f aca="false">S8*Assumptions!$C$22*30.4/1000000</f>
        <v>1140</v>
      </c>
      <c r="T18" s="39" t="n">
        <f aca="false">T8*Assumptions!$C$22*30.4/1000000</f>
        <v>1368</v>
      </c>
      <c r="U18" s="39" t="n">
        <f aca="false">U8*Assumptions!$C$22*30.4/1000000</f>
        <v>1436.4</v>
      </c>
      <c r="V18" s="39" t="n">
        <f aca="false">V8*Assumptions!$C$22*30.4/1000000</f>
        <v>1504.8</v>
      </c>
      <c r="W18" s="39" t="n">
        <f aca="false">W8*Assumptions!$C$22*30.4/1000000</f>
        <v>1573.2</v>
      </c>
      <c r="X18" s="39" t="n">
        <f aca="false">X8*Assumptions!$C$22*30.4/1000000</f>
        <v>1641.6</v>
      </c>
      <c r="Y18" s="39" t="n">
        <f aca="false">Y8*Assumptions!$C$22*30.4/1000000</f>
        <v>1710</v>
      </c>
      <c r="Z18" s="39" t="n">
        <f aca="false">Z8*Assumptions!$C$22*30.4/1000000</f>
        <v>1778.4</v>
      </c>
      <c r="AA18" s="39" t="n">
        <f aca="false">AA8*Assumptions!$C$22*30.4/1000000</f>
        <v>1869.6</v>
      </c>
      <c r="AB18" s="39" t="n">
        <f aca="false">AB8*Assumptions!$C$22*30.4/1000000</f>
        <v>1960.8</v>
      </c>
      <c r="AC18" s="39" t="n">
        <f aca="false">AC8*Assumptions!$C$22*30.4/1000000</f>
        <v>2052</v>
      </c>
      <c r="AD18" s="39" t="n">
        <f aca="false">AD8*Assumptions!$C$22*30.4/1000000</f>
        <v>2120.4</v>
      </c>
      <c r="AE18" s="39" t="n">
        <f aca="false">AE8*Assumptions!$C$22*30.4/1000000</f>
        <v>2197.92</v>
      </c>
      <c r="AF18" s="39" t="n">
        <f aca="false">AF8*Assumptions!$C$22*30.4/1000000</f>
        <v>2280</v>
      </c>
    </row>
    <row r="19" customFormat="false" ht="15" hidden="false" customHeight="true" outlineLevel="0" collapsed="false">
      <c r="B19" s="1" t="s">
        <v>340</v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1</v>
      </c>
      <c r="P19" s="29" t="n">
        <v>1</v>
      </c>
      <c r="Q19" s="29" t="n">
        <v>2</v>
      </c>
      <c r="R19" s="29" t="n">
        <v>2</v>
      </c>
      <c r="S19" s="29" t="n">
        <v>2</v>
      </c>
      <c r="T19" s="29" t="n">
        <v>3</v>
      </c>
      <c r="U19" s="29" t="n">
        <v>3</v>
      </c>
      <c r="V19" s="29" t="n">
        <v>3</v>
      </c>
      <c r="W19" s="29" t="n">
        <v>4</v>
      </c>
      <c r="X19" s="29" t="n">
        <v>4</v>
      </c>
      <c r="Y19" s="29" t="n">
        <v>4</v>
      </c>
      <c r="Z19" s="29" t="n">
        <v>5</v>
      </c>
      <c r="AA19" s="29" t="n">
        <v>5</v>
      </c>
      <c r="AB19" s="29" t="n">
        <v>5</v>
      </c>
      <c r="AC19" s="29" t="n">
        <v>6</v>
      </c>
      <c r="AD19" s="29" t="n">
        <v>6</v>
      </c>
      <c r="AE19" s="29" t="n">
        <v>6</v>
      </c>
      <c r="AF19" s="29" t="n">
        <v>7</v>
      </c>
    </row>
    <row r="20" customFormat="false" ht="15" hidden="false" customHeight="true" outlineLevel="0" collapsed="false">
      <c r="B20" s="1" t="s">
        <v>341</v>
      </c>
      <c r="C20" s="20" t="n">
        <f aca="false">C19*Assumptions!$C$97</f>
        <v>0</v>
      </c>
      <c r="D20" s="20" t="n">
        <f aca="false">D19*Assumptions!$C$97</f>
        <v>0</v>
      </c>
      <c r="E20" s="20" t="n">
        <f aca="false">E19*Assumptions!$C$97</f>
        <v>0</v>
      </c>
      <c r="F20" s="20" t="n">
        <f aca="false">F19*Assumptions!$C$97</f>
        <v>0</v>
      </c>
      <c r="G20" s="20" t="n">
        <f aca="false">G19*Assumptions!$C$97</f>
        <v>0</v>
      </c>
      <c r="H20" s="20" t="n">
        <f aca="false">H19*Assumptions!$C$97</f>
        <v>0</v>
      </c>
      <c r="I20" s="20" t="n">
        <f aca="false">I19*Assumptions!$C$97</f>
        <v>0</v>
      </c>
      <c r="J20" s="20" t="n">
        <f aca="false">J19*Assumptions!$C$97</f>
        <v>0</v>
      </c>
      <c r="K20" s="20" t="n">
        <f aca="false">K19*Assumptions!$C$97</f>
        <v>0</v>
      </c>
      <c r="L20" s="20" t="n">
        <f aca="false">L19*Assumptions!$C$97</f>
        <v>0</v>
      </c>
      <c r="M20" s="20" t="n">
        <f aca="false">M19*Assumptions!$C$97</f>
        <v>0</v>
      </c>
      <c r="N20" s="20" t="n">
        <f aca="false">N19*Assumptions!$C$97</f>
        <v>0</v>
      </c>
      <c r="O20" s="20" t="n">
        <f aca="false">O19*Assumptions!$C$97</f>
        <v>120</v>
      </c>
      <c r="P20" s="20" t="n">
        <f aca="false">P19*Assumptions!$C$97</f>
        <v>120</v>
      </c>
      <c r="Q20" s="20" t="n">
        <f aca="false">Q19*Assumptions!$C$97</f>
        <v>240</v>
      </c>
      <c r="R20" s="20" t="n">
        <f aca="false">R19*Assumptions!$C$97</f>
        <v>240</v>
      </c>
      <c r="S20" s="20" t="n">
        <f aca="false">S19*Assumptions!$C$97</f>
        <v>240</v>
      </c>
      <c r="T20" s="20" t="n">
        <f aca="false">T19*Assumptions!$C$97</f>
        <v>360</v>
      </c>
      <c r="U20" s="20" t="n">
        <f aca="false">U19*Assumptions!$C$97</f>
        <v>360</v>
      </c>
      <c r="V20" s="20" t="n">
        <f aca="false">V19*Assumptions!$C$97</f>
        <v>360</v>
      </c>
      <c r="W20" s="20" t="n">
        <f aca="false">W19*Assumptions!$C$97</f>
        <v>480</v>
      </c>
      <c r="X20" s="20" t="n">
        <f aca="false">X19*Assumptions!$C$97</f>
        <v>480</v>
      </c>
      <c r="Y20" s="20" t="n">
        <f aca="false">Y19*Assumptions!$C$97</f>
        <v>480</v>
      </c>
      <c r="Z20" s="20" t="n">
        <f aca="false">Z19*Assumptions!$C$97</f>
        <v>600</v>
      </c>
      <c r="AA20" s="20" t="n">
        <f aca="false">AA19*Assumptions!$C$97</f>
        <v>600</v>
      </c>
      <c r="AB20" s="20" t="n">
        <f aca="false">AB19*Assumptions!$C$97</f>
        <v>600</v>
      </c>
      <c r="AC20" s="20" t="n">
        <f aca="false">AC19*Assumptions!$C$97</f>
        <v>720</v>
      </c>
      <c r="AD20" s="20" t="n">
        <f aca="false">AD19*Assumptions!$C$97</f>
        <v>720</v>
      </c>
      <c r="AE20" s="20" t="n">
        <f aca="false">AE19*Assumptions!$C$97</f>
        <v>720</v>
      </c>
      <c r="AF20" s="20" t="n">
        <f aca="false">AF19*Assumptions!$C$97</f>
        <v>840</v>
      </c>
    </row>
    <row r="21" customFormat="false" ht="15" hidden="false" customHeight="true" outlineLevel="0" collapsed="false">
      <c r="B21" s="1" t="s">
        <v>342</v>
      </c>
      <c r="C21" s="20" t="n">
        <f aca="false">1+IF(1&gt;=Assumptions!$C$100,1,0)+IF(1&gt;=Assumptions!$C$101,1,0)</f>
        <v>1</v>
      </c>
      <c r="D21" s="20" t="n">
        <f aca="false">1+IF(2&gt;=Assumptions!$C$100,1,0)+IF(2&gt;=Assumptions!$C$101,1,0)</f>
        <v>1</v>
      </c>
      <c r="E21" s="20" t="n">
        <f aca="false">1+IF(3&gt;=Assumptions!$C$100,1,0)+IF(3&gt;=Assumptions!$C$101,1,0)</f>
        <v>1</v>
      </c>
      <c r="F21" s="20" t="n">
        <f aca="false">1+IF(4&gt;=Assumptions!$C$100,1,0)+IF(4&gt;=Assumptions!$C$101,1,0)</f>
        <v>1</v>
      </c>
      <c r="G21" s="20" t="n">
        <f aca="false">1+IF(5&gt;=Assumptions!$C$100,1,0)+IF(5&gt;=Assumptions!$C$101,1,0)</f>
        <v>1</v>
      </c>
      <c r="H21" s="20" t="n">
        <f aca="false">1+IF(6&gt;=Assumptions!$C$100,1,0)+IF(6&gt;=Assumptions!$C$101,1,0)</f>
        <v>1</v>
      </c>
      <c r="I21" s="20" t="n">
        <f aca="false">1+IF(7&gt;=Assumptions!$C$100,1,0)+IF(7&gt;=Assumptions!$C$101,1,0)</f>
        <v>1</v>
      </c>
      <c r="J21" s="20" t="n">
        <f aca="false">1+IF(8&gt;=Assumptions!$C$100,1,0)+IF(8&gt;=Assumptions!$C$101,1,0)</f>
        <v>1</v>
      </c>
      <c r="K21" s="20" t="n">
        <f aca="false">1+IF(9&gt;=Assumptions!$C$100,1,0)+IF(9&gt;=Assumptions!$C$101,1,0)</f>
        <v>1</v>
      </c>
      <c r="L21" s="20" t="n">
        <f aca="false">1+IF(10&gt;=Assumptions!$C$100,1,0)+IF(10&gt;=Assumptions!$C$101,1,0)</f>
        <v>1</v>
      </c>
      <c r="M21" s="20" t="n">
        <f aca="false">1+IF(11&gt;=Assumptions!$C$100,1,0)+IF(11&gt;=Assumptions!$C$101,1,0)</f>
        <v>1</v>
      </c>
      <c r="N21" s="20" t="n">
        <f aca="false">1+IF(12&gt;=Assumptions!$C$100,1,0)+IF(12&gt;=Assumptions!$C$101,1,0)</f>
        <v>1</v>
      </c>
      <c r="O21" s="20" t="n">
        <f aca="false">1+IF(13&gt;=Assumptions!$C$100,1,0)+IF(13&gt;=Assumptions!$C$101,1,0)</f>
        <v>2</v>
      </c>
      <c r="P21" s="20" t="n">
        <f aca="false">1+IF(14&gt;=Assumptions!$C$100,1,0)+IF(14&gt;=Assumptions!$C$101,1,0)</f>
        <v>2</v>
      </c>
      <c r="Q21" s="20" t="n">
        <f aca="false">1+IF(15&gt;=Assumptions!$C$100,1,0)+IF(15&gt;=Assumptions!$C$101,1,0)</f>
        <v>2</v>
      </c>
      <c r="R21" s="20" t="n">
        <f aca="false">1+IF(16&gt;=Assumptions!$C$100,1,0)+IF(16&gt;=Assumptions!$C$101,1,0)</f>
        <v>2</v>
      </c>
      <c r="S21" s="20" t="n">
        <f aca="false">1+IF(17&gt;=Assumptions!$C$100,1,0)+IF(17&gt;=Assumptions!$C$101,1,0)</f>
        <v>2</v>
      </c>
      <c r="T21" s="20" t="n">
        <f aca="false">1+IF(18&gt;=Assumptions!$C$100,1,0)+IF(18&gt;=Assumptions!$C$101,1,0)</f>
        <v>2</v>
      </c>
      <c r="U21" s="20" t="n">
        <f aca="false">1+IF(19&gt;=Assumptions!$C$100,1,0)+IF(19&gt;=Assumptions!$C$101,1,0)</f>
        <v>2</v>
      </c>
      <c r="V21" s="20" t="n">
        <f aca="false">1+IF(20&gt;=Assumptions!$C$100,1,0)+IF(20&gt;=Assumptions!$C$101,1,0)</f>
        <v>2</v>
      </c>
      <c r="W21" s="20" t="n">
        <f aca="false">1+IF(21&gt;=Assumptions!$C$100,1,0)+IF(21&gt;=Assumptions!$C$101,1,0)</f>
        <v>2</v>
      </c>
      <c r="X21" s="20" t="n">
        <f aca="false">1+IF(22&gt;=Assumptions!$C$100,1,0)+IF(22&gt;=Assumptions!$C$101,1,0)</f>
        <v>2</v>
      </c>
      <c r="Y21" s="20" t="n">
        <f aca="false">1+IF(23&gt;=Assumptions!$C$100,1,0)+IF(23&gt;=Assumptions!$C$101,1,0)</f>
        <v>2</v>
      </c>
      <c r="Z21" s="20" t="n">
        <f aca="false">1+IF(24&gt;=Assumptions!$C$100,1,0)+IF(24&gt;=Assumptions!$C$101,1,0)</f>
        <v>2</v>
      </c>
      <c r="AA21" s="20" t="n">
        <f aca="false">1+IF(25&gt;=Assumptions!$C$100,1,0)+IF(25&gt;=Assumptions!$C$101,1,0)</f>
        <v>3</v>
      </c>
      <c r="AB21" s="20" t="n">
        <f aca="false">1+IF(26&gt;=Assumptions!$C$100,1,0)+IF(26&gt;=Assumptions!$C$101,1,0)</f>
        <v>3</v>
      </c>
      <c r="AC21" s="20" t="n">
        <f aca="false">1+IF(27&gt;=Assumptions!$C$100,1,0)+IF(27&gt;=Assumptions!$C$101,1,0)</f>
        <v>3</v>
      </c>
      <c r="AD21" s="20" t="n">
        <f aca="false">1+IF(28&gt;=Assumptions!$C$100,1,0)+IF(28&gt;=Assumptions!$C$101,1,0)</f>
        <v>3</v>
      </c>
      <c r="AE21" s="20" t="n">
        <f aca="false">1+IF(29&gt;=Assumptions!$C$100,1,0)+IF(29&gt;=Assumptions!$C$101,1,0)</f>
        <v>3</v>
      </c>
      <c r="AF21" s="20" t="n">
        <f aca="false">1+IF(30&gt;=Assumptions!$C$100,1,0)+IF(30&gt;=Assumptions!$C$101,1,0)</f>
        <v>3</v>
      </c>
    </row>
    <row r="22" customFormat="false" ht="15" hidden="false" customHeight="true" outlineLevel="0" collapsed="false">
      <c r="B22" s="1" t="s">
        <v>343</v>
      </c>
      <c r="C22" s="40" t="n">
        <f aca="false">1+IF(1&gt;=Assumptions!$C$100,1,0)*Assumptions!$C$104*Assumptions!$C$102+IF(1&gt;=Assumptions!$C$101,1,0)*Assumptions!$C$105*Assumptions!$C$103</f>
        <v>1</v>
      </c>
      <c r="D22" s="40" t="n">
        <f aca="false">1+IF(2&gt;=Assumptions!$C$100,1,0)*Assumptions!$C$104*Assumptions!$C$102+IF(2&gt;=Assumptions!$C$101,1,0)*Assumptions!$C$105*Assumptions!$C$103</f>
        <v>1</v>
      </c>
      <c r="E22" s="40" t="n">
        <f aca="false">1+IF(3&gt;=Assumptions!$C$100,1,0)*Assumptions!$C$104*Assumptions!$C$102+IF(3&gt;=Assumptions!$C$101,1,0)*Assumptions!$C$105*Assumptions!$C$103</f>
        <v>1</v>
      </c>
      <c r="F22" s="40" t="n">
        <f aca="false">1+IF(4&gt;=Assumptions!$C$100,1,0)*Assumptions!$C$104*Assumptions!$C$102+IF(4&gt;=Assumptions!$C$101,1,0)*Assumptions!$C$105*Assumptions!$C$103</f>
        <v>1</v>
      </c>
      <c r="G22" s="40" t="n">
        <f aca="false">1+IF(5&gt;=Assumptions!$C$100,1,0)*Assumptions!$C$104*Assumptions!$C$102+IF(5&gt;=Assumptions!$C$101,1,0)*Assumptions!$C$105*Assumptions!$C$103</f>
        <v>1</v>
      </c>
      <c r="H22" s="40" t="n">
        <f aca="false">1+IF(6&gt;=Assumptions!$C$100,1,0)*Assumptions!$C$104*Assumptions!$C$102+IF(6&gt;=Assumptions!$C$101,1,0)*Assumptions!$C$105*Assumptions!$C$103</f>
        <v>1</v>
      </c>
      <c r="I22" s="40" t="n">
        <f aca="false">1+IF(7&gt;=Assumptions!$C$100,1,0)*Assumptions!$C$104*Assumptions!$C$102+IF(7&gt;=Assumptions!$C$101,1,0)*Assumptions!$C$105*Assumptions!$C$103</f>
        <v>1</v>
      </c>
      <c r="J22" s="40" t="n">
        <f aca="false">1+IF(8&gt;=Assumptions!$C$100,1,0)*Assumptions!$C$104*Assumptions!$C$102+IF(8&gt;=Assumptions!$C$101,1,0)*Assumptions!$C$105*Assumptions!$C$103</f>
        <v>1</v>
      </c>
      <c r="K22" s="40" t="n">
        <f aca="false">1+IF(9&gt;=Assumptions!$C$100,1,0)*Assumptions!$C$104*Assumptions!$C$102+IF(9&gt;=Assumptions!$C$101,1,0)*Assumptions!$C$105*Assumptions!$C$103</f>
        <v>1</v>
      </c>
      <c r="L22" s="40" t="n">
        <f aca="false">1+IF(10&gt;=Assumptions!$C$100,1,0)*Assumptions!$C$104*Assumptions!$C$102+IF(10&gt;=Assumptions!$C$101,1,0)*Assumptions!$C$105*Assumptions!$C$103</f>
        <v>1</v>
      </c>
      <c r="M22" s="40" t="n">
        <f aca="false">1+IF(11&gt;=Assumptions!$C$100,1,0)*Assumptions!$C$104*Assumptions!$C$102+IF(11&gt;=Assumptions!$C$101,1,0)*Assumptions!$C$105*Assumptions!$C$103</f>
        <v>1</v>
      </c>
      <c r="N22" s="40" t="n">
        <f aca="false">1+IF(12&gt;=Assumptions!$C$100,1,0)*Assumptions!$C$104*Assumptions!$C$102+IF(12&gt;=Assumptions!$C$101,1,0)*Assumptions!$C$105*Assumptions!$C$103</f>
        <v>1</v>
      </c>
      <c r="O22" s="40" t="n">
        <f aca="false">1+IF(13&gt;=Assumptions!$C$100,1,0)*Assumptions!$C$104*Assumptions!$C$102+IF(13&gt;=Assumptions!$C$101,1,0)*Assumptions!$C$105*Assumptions!$C$103</f>
        <v>1.02</v>
      </c>
      <c r="P22" s="40" t="n">
        <f aca="false">1+IF(14&gt;=Assumptions!$C$100,1,0)*Assumptions!$C$104*Assumptions!$C$102+IF(14&gt;=Assumptions!$C$101,1,0)*Assumptions!$C$105*Assumptions!$C$103</f>
        <v>1.02</v>
      </c>
      <c r="Q22" s="40" t="n">
        <f aca="false">1+IF(15&gt;=Assumptions!$C$100,1,0)*Assumptions!$C$104*Assumptions!$C$102+IF(15&gt;=Assumptions!$C$101,1,0)*Assumptions!$C$105*Assumptions!$C$103</f>
        <v>1.02</v>
      </c>
      <c r="R22" s="40" t="n">
        <f aca="false">1+IF(16&gt;=Assumptions!$C$100,1,0)*Assumptions!$C$104*Assumptions!$C$102+IF(16&gt;=Assumptions!$C$101,1,0)*Assumptions!$C$105*Assumptions!$C$103</f>
        <v>1.02</v>
      </c>
      <c r="S22" s="40" t="n">
        <f aca="false">1+IF(17&gt;=Assumptions!$C$100,1,0)*Assumptions!$C$104*Assumptions!$C$102+IF(17&gt;=Assumptions!$C$101,1,0)*Assumptions!$C$105*Assumptions!$C$103</f>
        <v>1.02</v>
      </c>
      <c r="T22" s="40" t="n">
        <f aca="false">1+IF(18&gt;=Assumptions!$C$100,1,0)*Assumptions!$C$104*Assumptions!$C$102+IF(18&gt;=Assumptions!$C$101,1,0)*Assumptions!$C$105*Assumptions!$C$103</f>
        <v>1.02</v>
      </c>
      <c r="U22" s="40" t="n">
        <f aca="false">1+IF(19&gt;=Assumptions!$C$100,1,0)*Assumptions!$C$104*Assumptions!$C$102+IF(19&gt;=Assumptions!$C$101,1,0)*Assumptions!$C$105*Assumptions!$C$103</f>
        <v>1.02</v>
      </c>
      <c r="V22" s="40" t="n">
        <f aca="false">1+IF(20&gt;=Assumptions!$C$100,1,0)*Assumptions!$C$104*Assumptions!$C$102+IF(20&gt;=Assumptions!$C$101,1,0)*Assumptions!$C$105*Assumptions!$C$103</f>
        <v>1.02</v>
      </c>
      <c r="W22" s="40" t="n">
        <f aca="false">1+IF(21&gt;=Assumptions!$C$100,1,0)*Assumptions!$C$104*Assumptions!$C$102+IF(21&gt;=Assumptions!$C$101,1,0)*Assumptions!$C$105*Assumptions!$C$103</f>
        <v>1.02</v>
      </c>
      <c r="X22" s="40" t="n">
        <f aca="false">1+IF(22&gt;=Assumptions!$C$100,1,0)*Assumptions!$C$104*Assumptions!$C$102+IF(22&gt;=Assumptions!$C$101,1,0)*Assumptions!$C$105*Assumptions!$C$103</f>
        <v>1.02</v>
      </c>
      <c r="Y22" s="40" t="n">
        <f aca="false">1+IF(23&gt;=Assumptions!$C$100,1,0)*Assumptions!$C$104*Assumptions!$C$102+IF(23&gt;=Assumptions!$C$101,1,0)*Assumptions!$C$105*Assumptions!$C$103</f>
        <v>1.02</v>
      </c>
      <c r="Z22" s="40" t="n">
        <f aca="false">1+IF(24&gt;=Assumptions!$C$100,1,0)*Assumptions!$C$104*Assumptions!$C$102+IF(24&gt;=Assumptions!$C$101,1,0)*Assumptions!$C$105*Assumptions!$C$103</f>
        <v>1.02</v>
      </c>
      <c r="AA22" s="40" t="n">
        <f aca="false">1+IF(25&gt;=Assumptions!$C$100,1,0)*Assumptions!$C$104*Assumptions!$C$102+IF(25&gt;=Assumptions!$C$101,1,0)*Assumptions!$C$105*Assumptions!$C$103</f>
        <v>1.047</v>
      </c>
      <c r="AB22" s="40" t="n">
        <f aca="false">1+IF(26&gt;=Assumptions!$C$100,1,0)*Assumptions!$C$104*Assumptions!$C$102+IF(26&gt;=Assumptions!$C$101,1,0)*Assumptions!$C$105*Assumptions!$C$103</f>
        <v>1.047</v>
      </c>
      <c r="AC22" s="40" t="n">
        <f aca="false">1+IF(27&gt;=Assumptions!$C$100,1,0)*Assumptions!$C$104*Assumptions!$C$102+IF(27&gt;=Assumptions!$C$101,1,0)*Assumptions!$C$105*Assumptions!$C$103</f>
        <v>1.047</v>
      </c>
      <c r="AD22" s="40" t="n">
        <f aca="false">1+IF(28&gt;=Assumptions!$C$100,1,0)*Assumptions!$C$104*Assumptions!$C$102+IF(28&gt;=Assumptions!$C$101,1,0)*Assumptions!$C$105*Assumptions!$C$103</f>
        <v>1.047</v>
      </c>
      <c r="AE22" s="40" t="n">
        <f aca="false">1+IF(29&gt;=Assumptions!$C$100,1,0)*Assumptions!$C$104*Assumptions!$C$102+IF(29&gt;=Assumptions!$C$101,1,0)*Assumptions!$C$105*Assumptions!$C$103</f>
        <v>1.047</v>
      </c>
      <c r="AF22" s="40" t="n">
        <f aca="false">1+IF(30&gt;=Assumptions!$C$100,1,0)*Assumptions!$C$104*Assumptions!$C$102+IF(30&gt;=Assumptions!$C$101,1,0)*Assumptions!$C$105*Assumptions!$C$103</f>
        <v>1.047</v>
      </c>
    </row>
    <row r="23" customFormat="false" ht="15" hidden="false" customHeight="true" outlineLevel="0" collapsed="false">
      <c r="B23" s="1" t="s">
        <v>344</v>
      </c>
      <c r="C23" s="41" t="n">
        <f aca="false">1+Assumptions!$C$10*(Assumptions!$C$9-1)</f>
        <v>2</v>
      </c>
      <c r="D23" s="41" t="n">
        <f aca="false">1+Assumptions!$C$10*(Assumptions!$C$9-1)</f>
        <v>2</v>
      </c>
      <c r="E23" s="41" t="n">
        <f aca="false">1+Assumptions!$C$10*(Assumptions!$C$9-1)</f>
        <v>2</v>
      </c>
      <c r="F23" s="41" t="n">
        <f aca="false">1+Assumptions!$C$10*(Assumptions!$C$9-1)</f>
        <v>2</v>
      </c>
      <c r="G23" s="41" t="n">
        <f aca="false">1+Assumptions!$C$10*(Assumptions!$C$9-1)</f>
        <v>2</v>
      </c>
      <c r="H23" s="41" t="n">
        <f aca="false">1+Assumptions!$C$10*(Assumptions!$C$9-1)</f>
        <v>2</v>
      </c>
      <c r="I23" s="41" t="n">
        <f aca="false">1+Assumptions!$C$10*(Assumptions!$C$9-1)</f>
        <v>2</v>
      </c>
      <c r="J23" s="41" t="n">
        <f aca="false">1+Assumptions!$C$10*(Assumptions!$C$9-1)</f>
        <v>2</v>
      </c>
      <c r="K23" s="41" t="n">
        <f aca="false">1+Assumptions!$C$10*(Assumptions!$C$9-1)</f>
        <v>2</v>
      </c>
      <c r="L23" s="41" t="n">
        <f aca="false">1+Assumptions!$C$10*(Assumptions!$C$9-1)</f>
        <v>2</v>
      </c>
      <c r="M23" s="41" t="n">
        <f aca="false">1+Assumptions!$C$10*(Assumptions!$C$9-1)</f>
        <v>2</v>
      </c>
      <c r="N23" s="41" t="n">
        <f aca="false">1+Assumptions!$C$10*(Assumptions!$C$9-1)</f>
        <v>2</v>
      </c>
      <c r="O23" s="41" t="n">
        <f aca="false">1+Assumptions!$C$10*(Assumptions!$C$9-1)</f>
        <v>2</v>
      </c>
      <c r="P23" s="41" t="n">
        <f aca="false">1+Assumptions!$C$10*(Assumptions!$C$9-1)</f>
        <v>2</v>
      </c>
      <c r="Q23" s="41" t="n">
        <f aca="false">1+Assumptions!$C$10*(Assumptions!$C$9-1)</f>
        <v>2</v>
      </c>
      <c r="R23" s="41" t="n">
        <f aca="false">1+Assumptions!$C$10*(Assumptions!$C$9-1)</f>
        <v>2</v>
      </c>
      <c r="S23" s="41" t="n">
        <f aca="false">1+Assumptions!$C$10*(Assumptions!$C$9-1)</f>
        <v>2</v>
      </c>
      <c r="T23" s="41" t="n">
        <f aca="false">1+Assumptions!$C$10*(Assumptions!$C$9-1)</f>
        <v>2</v>
      </c>
      <c r="U23" s="41" t="n">
        <f aca="false">1+Assumptions!$C$10*(Assumptions!$C$9-1)</f>
        <v>2</v>
      </c>
      <c r="V23" s="41" t="n">
        <f aca="false">1+Assumptions!$C$10*(Assumptions!$C$9-1)</f>
        <v>2</v>
      </c>
      <c r="W23" s="41" t="n">
        <f aca="false">1+Assumptions!$C$10*(Assumptions!$C$9-1)</f>
        <v>2</v>
      </c>
      <c r="X23" s="41" t="n">
        <f aca="false">1+Assumptions!$C$10*(Assumptions!$C$9-1)</f>
        <v>2</v>
      </c>
      <c r="Y23" s="41" t="n">
        <f aca="false">1+Assumptions!$C$10*(Assumptions!$C$9-1)</f>
        <v>2</v>
      </c>
      <c r="Z23" s="41" t="n">
        <f aca="false">1+Assumptions!$C$10*(Assumptions!$C$9-1)</f>
        <v>2</v>
      </c>
      <c r="AA23" s="41" t="n">
        <f aca="false">1+Assumptions!$C$10*(Assumptions!$C$9-1)</f>
        <v>2</v>
      </c>
      <c r="AB23" s="41" t="n">
        <f aca="false">1+Assumptions!$C$10*(Assumptions!$C$9-1)</f>
        <v>2</v>
      </c>
      <c r="AC23" s="41" t="n">
        <f aca="false">1+Assumptions!$C$10*(Assumptions!$C$9-1)</f>
        <v>2</v>
      </c>
      <c r="AD23" s="41" t="n">
        <f aca="false">1+Assumptions!$C$10*(Assumptions!$C$9-1)</f>
        <v>2</v>
      </c>
      <c r="AE23" s="41" t="n">
        <f aca="false">1+Assumptions!$C$10*(Assumptions!$C$9-1)</f>
        <v>2</v>
      </c>
      <c r="AF23" s="41" t="n">
        <f aca="false">1+Assumptions!$C$10*(Assumptions!$C$9-1)</f>
        <v>2</v>
      </c>
    </row>
    <row r="24" customFormat="false" ht="15" hidden="false" customHeight="true" outlineLevel="0" collapsed="false">
      <c r="B24" s="1" t="s">
        <v>345</v>
      </c>
      <c r="C24" s="20" t="n">
        <f aca="false">C21+Assumptions!$C$9-1</f>
        <v>3</v>
      </c>
      <c r="D24" s="20" t="n">
        <f aca="false">D21+Assumptions!$C$9-1</f>
        <v>3</v>
      </c>
      <c r="E24" s="20" t="n">
        <f aca="false">E21+Assumptions!$C$9-1</f>
        <v>3</v>
      </c>
      <c r="F24" s="20" t="n">
        <f aca="false">F21+Assumptions!$C$9-1</f>
        <v>3</v>
      </c>
      <c r="G24" s="20" t="n">
        <f aca="false">G21+Assumptions!$C$9-1</f>
        <v>3</v>
      </c>
      <c r="H24" s="20" t="n">
        <f aca="false">H21+Assumptions!$C$9-1</f>
        <v>3</v>
      </c>
      <c r="I24" s="20" t="n">
        <f aca="false">I21+Assumptions!$C$9-1</f>
        <v>3</v>
      </c>
      <c r="J24" s="20" t="n">
        <f aca="false">J21+Assumptions!$C$9-1</f>
        <v>3</v>
      </c>
      <c r="K24" s="20" t="n">
        <f aca="false">K21+Assumptions!$C$9-1</f>
        <v>3</v>
      </c>
      <c r="L24" s="20" t="n">
        <f aca="false">L21+Assumptions!$C$9-1</f>
        <v>3</v>
      </c>
      <c r="M24" s="20" t="n">
        <f aca="false">M21+Assumptions!$C$9-1</f>
        <v>3</v>
      </c>
      <c r="N24" s="20" t="n">
        <f aca="false">N21+Assumptions!$C$9-1</f>
        <v>3</v>
      </c>
      <c r="O24" s="20" t="n">
        <f aca="false">O21+Assumptions!$C$9-1</f>
        <v>4</v>
      </c>
      <c r="P24" s="20" t="n">
        <f aca="false">P21+Assumptions!$C$9-1</f>
        <v>4</v>
      </c>
      <c r="Q24" s="20" t="n">
        <f aca="false">Q21+Assumptions!$C$9-1</f>
        <v>4</v>
      </c>
      <c r="R24" s="20" t="n">
        <f aca="false">R21+Assumptions!$C$9-1</f>
        <v>4</v>
      </c>
      <c r="S24" s="20" t="n">
        <f aca="false">S21+Assumptions!$C$9-1</f>
        <v>4</v>
      </c>
      <c r="T24" s="20" t="n">
        <f aca="false">T21+Assumptions!$C$9-1</f>
        <v>4</v>
      </c>
      <c r="U24" s="20" t="n">
        <f aca="false">U21+Assumptions!$C$9-1</f>
        <v>4</v>
      </c>
      <c r="V24" s="20" t="n">
        <f aca="false">V21+Assumptions!$C$9-1</f>
        <v>4</v>
      </c>
      <c r="W24" s="20" t="n">
        <f aca="false">W21+Assumptions!$C$9-1</f>
        <v>4</v>
      </c>
      <c r="X24" s="20" t="n">
        <f aca="false">X21+Assumptions!$C$9-1</f>
        <v>4</v>
      </c>
      <c r="Y24" s="20" t="n">
        <f aca="false">Y21+Assumptions!$C$9-1</f>
        <v>4</v>
      </c>
      <c r="Z24" s="20" t="n">
        <f aca="false">Z21+Assumptions!$C$9-1</f>
        <v>4</v>
      </c>
      <c r="AA24" s="20" t="n">
        <f aca="false">AA21+Assumptions!$C$9-1</f>
        <v>5</v>
      </c>
      <c r="AB24" s="20" t="n">
        <f aca="false">AB21+Assumptions!$C$9-1</f>
        <v>5</v>
      </c>
      <c r="AC24" s="20" t="n">
        <f aca="false">AC21+Assumptions!$C$9-1</f>
        <v>5</v>
      </c>
      <c r="AD24" s="20" t="n">
        <f aca="false">AD21+Assumptions!$C$9-1</f>
        <v>5</v>
      </c>
      <c r="AE24" s="20" t="n">
        <f aca="false">AE21+Assumptions!$C$9-1</f>
        <v>5</v>
      </c>
      <c r="AF24" s="20" t="n">
        <f aca="false">AF21+Assumptions!$C$9-1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2" min="3" style="1" width="11"/>
  </cols>
  <sheetData>
    <row r="1" customFormat="false" ht="19.5" hidden="false" customHeight="true" outlineLevel="0" collapsed="false">
      <c r="B1" s="2" t="s">
        <v>346</v>
      </c>
    </row>
    <row r="2" customFormat="false" ht="15" hidden="false" customHeight="true" outlineLevel="0" collapsed="false">
      <c r="B2" s="9" t="s">
        <v>347</v>
      </c>
    </row>
    <row r="4" customFormat="false" ht="15" hidden="false" customHeight="true" outlineLevel="0" collapsed="false">
      <c r="B4" s="10" t="s">
        <v>348</v>
      </c>
      <c r="C4" s="37" t="s">
        <v>297</v>
      </c>
      <c r="D4" s="37" t="s">
        <v>298</v>
      </c>
      <c r="E4" s="37" t="s">
        <v>299</v>
      </c>
      <c r="F4" s="37" t="s">
        <v>300</v>
      </c>
      <c r="G4" s="37" t="s">
        <v>301</v>
      </c>
      <c r="H4" s="37" t="s">
        <v>302</v>
      </c>
      <c r="I4" s="37" t="s">
        <v>303</v>
      </c>
      <c r="J4" s="37" t="s">
        <v>304</v>
      </c>
      <c r="K4" s="37" t="s">
        <v>305</v>
      </c>
      <c r="L4" s="37" t="s">
        <v>306</v>
      </c>
      <c r="M4" s="37" t="s">
        <v>307</v>
      </c>
      <c r="N4" s="37" t="s">
        <v>308</v>
      </c>
      <c r="O4" s="37" t="s">
        <v>309</v>
      </c>
      <c r="P4" s="37" t="s">
        <v>310</v>
      </c>
      <c r="Q4" s="37" t="s">
        <v>311</v>
      </c>
      <c r="R4" s="37" t="s">
        <v>312</v>
      </c>
      <c r="S4" s="37" t="s">
        <v>313</v>
      </c>
      <c r="T4" s="37" t="s">
        <v>314</v>
      </c>
      <c r="U4" s="37" t="s">
        <v>315</v>
      </c>
      <c r="V4" s="37" t="s">
        <v>316</v>
      </c>
      <c r="W4" s="37" t="s">
        <v>317</v>
      </c>
      <c r="X4" s="37" t="s">
        <v>318</v>
      </c>
      <c r="Y4" s="37" t="s">
        <v>319</v>
      </c>
      <c r="Z4" s="37" t="s">
        <v>320</v>
      </c>
      <c r="AA4" s="37" t="s">
        <v>321</v>
      </c>
      <c r="AB4" s="37" t="s">
        <v>322</v>
      </c>
      <c r="AC4" s="37" t="s">
        <v>323</v>
      </c>
      <c r="AD4" s="37" t="s">
        <v>324</v>
      </c>
      <c r="AE4" s="37" t="s">
        <v>325</v>
      </c>
      <c r="AF4" s="37" t="s">
        <v>326</v>
      </c>
    </row>
    <row r="5" customFormat="false" ht="15" hidden="false" customHeight="true" outlineLevel="0" collapsed="false">
      <c r="B5" s="16" t="s">
        <v>349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</row>
    <row r="6" customFormat="false" ht="15" hidden="false" customHeight="true" outlineLevel="0" collapsed="false">
      <c r="B6" s="12" t="s">
        <v>350</v>
      </c>
      <c r="C6" s="25" t="n">
        <f aca="false">Assumptions!$C$43*730*Drivers!C24</f>
        <v>219</v>
      </c>
      <c r="D6" s="25" t="n">
        <f aca="false">Assumptions!$C$43*730*Drivers!D24</f>
        <v>219</v>
      </c>
      <c r="E6" s="25" t="n">
        <f aca="false">Assumptions!$C$43*730*Drivers!E24</f>
        <v>219</v>
      </c>
      <c r="F6" s="25" t="n">
        <f aca="false">Assumptions!$C$43*730*Drivers!F24</f>
        <v>219</v>
      </c>
      <c r="G6" s="25" t="n">
        <f aca="false">Assumptions!$C$43*730*Drivers!G24</f>
        <v>219</v>
      </c>
      <c r="H6" s="25" t="n">
        <f aca="false">Assumptions!$C$43*730*Drivers!H24</f>
        <v>219</v>
      </c>
      <c r="I6" s="25" t="n">
        <f aca="false">Assumptions!$C$43*730*Drivers!I24</f>
        <v>219</v>
      </c>
      <c r="J6" s="25" t="n">
        <f aca="false">Assumptions!$C$43*730*Drivers!J24</f>
        <v>219</v>
      </c>
      <c r="K6" s="25" t="n">
        <f aca="false">Assumptions!$C$43*730*Drivers!K24</f>
        <v>219</v>
      </c>
      <c r="L6" s="25" t="n">
        <f aca="false">Assumptions!$C$43*730*Drivers!L24</f>
        <v>219</v>
      </c>
      <c r="M6" s="25" t="n">
        <f aca="false">Assumptions!$C$43*730*Drivers!M24</f>
        <v>219</v>
      </c>
      <c r="N6" s="25" t="n">
        <f aca="false">Assumptions!$C$43*730*Drivers!N24</f>
        <v>219</v>
      </c>
      <c r="O6" s="25" t="n">
        <f aca="false">Assumptions!$C$43*730*Drivers!O24</f>
        <v>292</v>
      </c>
      <c r="P6" s="25" t="n">
        <f aca="false">Assumptions!$C$43*730*Drivers!P24</f>
        <v>292</v>
      </c>
      <c r="Q6" s="25" t="n">
        <f aca="false">Assumptions!$C$43*730*Drivers!Q24</f>
        <v>292</v>
      </c>
      <c r="R6" s="25" t="n">
        <f aca="false">Assumptions!$C$43*730*Drivers!R24</f>
        <v>292</v>
      </c>
      <c r="S6" s="25" t="n">
        <f aca="false">Assumptions!$C$43*730*Drivers!S24</f>
        <v>292</v>
      </c>
      <c r="T6" s="25" t="n">
        <f aca="false">Assumptions!$C$43*730*Drivers!T24</f>
        <v>292</v>
      </c>
      <c r="U6" s="25" t="n">
        <f aca="false">Assumptions!$C$43*730*Drivers!U24</f>
        <v>292</v>
      </c>
      <c r="V6" s="25" t="n">
        <f aca="false">Assumptions!$C$43*730*Drivers!V24</f>
        <v>292</v>
      </c>
      <c r="W6" s="25" t="n">
        <f aca="false">Assumptions!$C$43*730*Drivers!W24</f>
        <v>292</v>
      </c>
      <c r="X6" s="25" t="n">
        <f aca="false">Assumptions!$C$43*730*Drivers!X24</f>
        <v>292</v>
      </c>
      <c r="Y6" s="25" t="n">
        <f aca="false">Assumptions!$C$43*730*Drivers!Y24</f>
        <v>292</v>
      </c>
      <c r="Z6" s="25" t="n">
        <f aca="false">Assumptions!$C$43*730*Drivers!Z24</f>
        <v>292</v>
      </c>
      <c r="AA6" s="25" t="n">
        <f aca="false">Assumptions!$C$43*730*Drivers!AA24</f>
        <v>365</v>
      </c>
      <c r="AB6" s="25" t="n">
        <f aca="false">Assumptions!$C$43*730*Drivers!AB24</f>
        <v>365</v>
      </c>
      <c r="AC6" s="25" t="n">
        <f aca="false">Assumptions!$C$43*730*Drivers!AC24</f>
        <v>365</v>
      </c>
      <c r="AD6" s="25" t="n">
        <f aca="false">Assumptions!$C$43*730*Drivers!AD24</f>
        <v>365</v>
      </c>
      <c r="AE6" s="25" t="n">
        <f aca="false">Assumptions!$C$43*730*Drivers!AE24</f>
        <v>365</v>
      </c>
      <c r="AF6" s="25" t="n">
        <f aca="false">Assumptions!$C$43*730*Drivers!AF24</f>
        <v>365</v>
      </c>
    </row>
    <row r="7" customFormat="false" ht="15" hidden="false" customHeight="true" outlineLevel="0" collapsed="false">
      <c r="B7" s="12" t="s">
        <v>351</v>
      </c>
      <c r="C7" s="25" t="n">
        <f aca="false">(MAX(Assumptions!$C$45,ROUNDUP(Drivers!C8/Assumptions!$C$44,0))*Drivers!C22+Assumptions!$C$45*Assumptions!$C$10*(Assumptions!$C$9-1))*Assumptions!$C$46*730*(1-Assumptions!$C$47)</f>
        <v>840.96</v>
      </c>
      <c r="D7" s="25" t="n">
        <f aca="false">(MAX(Assumptions!$C$45,ROUNDUP(Drivers!D8/Assumptions!$C$44,0))*Drivers!D22+Assumptions!$C$45*Assumptions!$C$10*(Assumptions!$C$9-1))*Assumptions!$C$46*730*(1-Assumptions!$C$47)</f>
        <v>840.96</v>
      </c>
      <c r="E7" s="25" t="n">
        <f aca="false">(MAX(Assumptions!$C$45,ROUNDUP(Drivers!E8/Assumptions!$C$44,0))*Drivers!E22+Assumptions!$C$45*Assumptions!$C$10*(Assumptions!$C$9-1))*Assumptions!$C$46*730*(1-Assumptions!$C$47)</f>
        <v>840.96</v>
      </c>
      <c r="F7" s="25" t="n">
        <f aca="false">(MAX(Assumptions!$C$45,ROUNDUP(Drivers!F8/Assumptions!$C$44,0))*Drivers!F22+Assumptions!$C$45*Assumptions!$C$10*(Assumptions!$C$9-1))*Assumptions!$C$46*730*(1-Assumptions!$C$47)</f>
        <v>840.96</v>
      </c>
      <c r="G7" s="25" t="n">
        <f aca="false">(MAX(Assumptions!$C$45,ROUNDUP(Drivers!G8/Assumptions!$C$44,0))*Drivers!G22+Assumptions!$C$45*Assumptions!$C$10*(Assumptions!$C$9-1))*Assumptions!$C$46*730*(1-Assumptions!$C$47)</f>
        <v>840.96</v>
      </c>
      <c r="H7" s="25" t="n">
        <f aca="false">(MAX(Assumptions!$C$45,ROUNDUP(Drivers!H8/Assumptions!$C$44,0))*Drivers!H22+Assumptions!$C$45*Assumptions!$C$10*(Assumptions!$C$9-1))*Assumptions!$C$46*730*(1-Assumptions!$C$47)</f>
        <v>840.96</v>
      </c>
      <c r="I7" s="25" t="n">
        <f aca="false">(MAX(Assumptions!$C$45,ROUNDUP(Drivers!I8/Assumptions!$C$44,0))*Drivers!I22+Assumptions!$C$45*Assumptions!$C$10*(Assumptions!$C$9-1))*Assumptions!$C$46*730*(1-Assumptions!$C$47)</f>
        <v>840.96</v>
      </c>
      <c r="J7" s="25" t="n">
        <f aca="false">(MAX(Assumptions!$C$45,ROUNDUP(Drivers!J8/Assumptions!$C$44,0))*Drivers!J22+Assumptions!$C$45*Assumptions!$C$10*(Assumptions!$C$9-1))*Assumptions!$C$46*730*(1-Assumptions!$C$47)</f>
        <v>840.96</v>
      </c>
      <c r="K7" s="25" t="n">
        <f aca="false">(MAX(Assumptions!$C$45,ROUNDUP(Drivers!K8/Assumptions!$C$44,0))*Drivers!K22+Assumptions!$C$45*Assumptions!$C$10*(Assumptions!$C$9-1))*Assumptions!$C$46*730*(1-Assumptions!$C$47)</f>
        <v>840.96</v>
      </c>
      <c r="L7" s="25" t="n">
        <f aca="false">(MAX(Assumptions!$C$45,ROUNDUP(Drivers!L8/Assumptions!$C$44,0))*Drivers!L22+Assumptions!$C$45*Assumptions!$C$10*(Assumptions!$C$9-1))*Assumptions!$C$46*730*(1-Assumptions!$C$47)</f>
        <v>946.08</v>
      </c>
      <c r="M7" s="25" t="n">
        <f aca="false">(MAX(Assumptions!$C$45,ROUNDUP(Drivers!M8/Assumptions!$C$44,0))*Drivers!M22+Assumptions!$C$45*Assumptions!$C$10*(Assumptions!$C$9-1))*Assumptions!$C$46*730*(1-Assumptions!$C$47)</f>
        <v>1051.2</v>
      </c>
      <c r="N7" s="25" t="n">
        <f aca="false">(MAX(Assumptions!$C$45,ROUNDUP(Drivers!N8/Assumptions!$C$44,0))*Drivers!N22+Assumptions!$C$45*Assumptions!$C$10*(Assumptions!$C$9-1))*Assumptions!$C$46*730*(1-Assumptions!$C$47)</f>
        <v>1366.56</v>
      </c>
      <c r="O7" s="25" t="n">
        <f aca="false">(MAX(Assumptions!$C$45,ROUNDUP(Drivers!O8/Assumptions!$C$44,0))*Drivers!O22+Assumptions!$C$45*Assumptions!$C$10*(Assumptions!$C$9-1))*Assumptions!$C$46*730*(1-Assumptions!$C$47)</f>
        <v>1492.704</v>
      </c>
      <c r="P7" s="25" t="n">
        <f aca="false">(MAX(Assumptions!$C$45,ROUNDUP(Drivers!P8/Assumptions!$C$44,0))*Drivers!P22+Assumptions!$C$45*Assumptions!$C$10*(Assumptions!$C$9-1))*Assumptions!$C$46*730*(1-Assumptions!$C$47)</f>
        <v>1814.3712</v>
      </c>
      <c r="Q7" s="25" t="n">
        <f aca="false">(MAX(Assumptions!$C$45,ROUNDUP(Drivers!Q8/Assumptions!$C$44,0))*Drivers!Q22+Assumptions!$C$45*Assumptions!$C$10*(Assumptions!$C$9-1))*Assumptions!$C$46*730*(1-Assumptions!$C$47)</f>
        <v>2028.816</v>
      </c>
      <c r="R7" s="25" t="n">
        <f aca="false">(MAX(Assumptions!$C$45,ROUNDUP(Drivers!R8/Assumptions!$C$44,0))*Drivers!R22+Assumptions!$C$45*Assumptions!$C$10*(Assumptions!$C$9-1))*Assumptions!$C$46*730*(1-Assumptions!$C$47)</f>
        <v>2350.4832</v>
      </c>
      <c r="S7" s="25" t="n">
        <f aca="false">(MAX(Assumptions!$C$45,ROUNDUP(Drivers!S8/Assumptions!$C$44,0))*Drivers!S22+Assumptions!$C$45*Assumptions!$C$10*(Assumptions!$C$9-1))*Assumptions!$C$46*730*(1-Assumptions!$C$47)</f>
        <v>2672.1504</v>
      </c>
      <c r="T7" s="25" t="n">
        <f aca="false">(MAX(Assumptions!$C$45,ROUNDUP(Drivers!T8/Assumptions!$C$44,0))*Drivers!T22+Assumptions!$C$45*Assumptions!$C$10*(Assumptions!$C$9-1))*Assumptions!$C$46*730*(1-Assumptions!$C$47)</f>
        <v>3101.04</v>
      </c>
      <c r="U7" s="25" t="n">
        <f aca="false">(MAX(Assumptions!$C$45,ROUNDUP(Drivers!U8/Assumptions!$C$44,0))*Drivers!U22+Assumptions!$C$45*Assumptions!$C$10*(Assumptions!$C$9-1))*Assumptions!$C$46*730*(1-Assumptions!$C$47)</f>
        <v>3315.4848</v>
      </c>
      <c r="V7" s="25" t="n">
        <f aca="false">(MAX(Assumptions!$C$45,ROUNDUP(Drivers!V8/Assumptions!$C$44,0))*Drivers!V22+Assumptions!$C$45*Assumptions!$C$10*(Assumptions!$C$9-1))*Assumptions!$C$46*730*(1-Assumptions!$C$47)</f>
        <v>3422.7072</v>
      </c>
      <c r="W7" s="25" t="n">
        <f aca="false">(MAX(Assumptions!$C$45,ROUNDUP(Drivers!W8/Assumptions!$C$44,0))*Drivers!W22+Assumptions!$C$45*Assumptions!$C$10*(Assumptions!$C$9-1))*Assumptions!$C$46*730*(1-Assumptions!$C$47)</f>
        <v>3529.9296</v>
      </c>
      <c r="X7" s="25" t="n">
        <f aca="false">(MAX(Assumptions!$C$45,ROUNDUP(Drivers!X8/Assumptions!$C$44,0))*Drivers!X22+Assumptions!$C$45*Assumptions!$C$10*(Assumptions!$C$9-1))*Assumptions!$C$46*730*(1-Assumptions!$C$47)</f>
        <v>3637.152</v>
      </c>
      <c r="Y7" s="25" t="n">
        <f aca="false">(MAX(Assumptions!$C$45,ROUNDUP(Drivers!Y8/Assumptions!$C$44,0))*Drivers!Y22+Assumptions!$C$45*Assumptions!$C$10*(Assumptions!$C$9-1))*Assumptions!$C$46*730*(1-Assumptions!$C$47)</f>
        <v>3851.5968</v>
      </c>
      <c r="Z7" s="25" t="n">
        <f aca="false">(MAX(Assumptions!$C$45,ROUNDUP(Drivers!Z8/Assumptions!$C$44,0))*Drivers!Z22+Assumptions!$C$45*Assumptions!$C$10*(Assumptions!$C$9-1))*Assumptions!$C$46*730*(1-Assumptions!$C$47)</f>
        <v>3958.8192</v>
      </c>
      <c r="AA7" s="25" t="n">
        <f aca="false">(MAX(Assumptions!$C$45,ROUNDUP(Drivers!AA8/Assumptions!$C$44,0))*Drivers!AA22+Assumptions!$C$45*Assumptions!$C$10*(Assumptions!$C$9-1))*Assumptions!$C$46*730*(1-Assumptions!$C$47)</f>
        <v>4272.6024</v>
      </c>
      <c r="AB7" s="25" t="n">
        <f aca="false">(MAX(Assumptions!$C$45,ROUNDUP(Drivers!AB8/Assumptions!$C$44,0))*Drivers!AB22+Assumptions!$C$45*Assumptions!$C$10*(Assumptions!$C$9-1))*Assumptions!$C$46*730*(1-Assumptions!$C$47)</f>
        <v>4382.66304</v>
      </c>
      <c r="AC7" s="25" t="n">
        <f aca="false">(MAX(Assumptions!$C$45,ROUNDUP(Drivers!AC8/Assumptions!$C$44,0))*Drivers!AC22+Assumptions!$C$45*Assumptions!$C$10*(Assumptions!$C$9-1))*Assumptions!$C$46*730*(1-Assumptions!$C$47)</f>
        <v>4602.78432</v>
      </c>
      <c r="AD7" s="25" t="n">
        <f aca="false">(MAX(Assumptions!$C$45,ROUNDUP(Drivers!AD8/Assumptions!$C$44,0))*Drivers!AD22+Assumptions!$C$45*Assumptions!$C$10*(Assumptions!$C$9-1))*Assumptions!$C$46*730*(1-Assumptions!$C$47)</f>
        <v>4712.84496</v>
      </c>
      <c r="AE7" s="25" t="n">
        <f aca="false">(MAX(Assumptions!$C$45,ROUNDUP(Drivers!AE8/Assumptions!$C$44,0))*Drivers!AE22+Assumptions!$C$45*Assumptions!$C$10*(Assumptions!$C$9-1))*Assumptions!$C$46*730*(1-Assumptions!$C$47)</f>
        <v>4932.96624</v>
      </c>
      <c r="AF7" s="25" t="n">
        <f aca="false">(MAX(Assumptions!$C$45,ROUNDUP(Drivers!AF8/Assumptions!$C$44,0))*Drivers!AF22+Assumptions!$C$45*Assumptions!$C$10*(Assumptions!$C$9-1))*Assumptions!$C$46*730*(1-Assumptions!$C$47)</f>
        <v>5043.02688</v>
      </c>
    </row>
    <row r="8" customFormat="false" ht="15" hidden="false" customHeight="true" outlineLevel="0" collapsed="false">
      <c r="B8" s="12" t="s">
        <v>352</v>
      </c>
      <c r="C8" s="25" t="n">
        <f aca="false">(Assumptions!$C$48+Assumptions!$C$108)*(1+Assumptions!$C$111)+Drivers!C18*(Assumptions!$C$49+Assumptions!$C$109)+Assumptions!$C$110</f>
        <v>783.02784</v>
      </c>
      <c r="D8" s="25" t="n">
        <f aca="false">(Assumptions!$C$48+Assumptions!$C$108)*(1+Assumptions!$C$111)+Drivers!D18*(Assumptions!$C$49+Assumptions!$C$109)+Assumptions!$C$110</f>
        <v>786.81264</v>
      </c>
      <c r="E8" s="25" t="n">
        <f aca="false">(Assumptions!$C$48+Assumptions!$C$108)*(1+Assumptions!$C$111)+Drivers!E18*(Assumptions!$C$49+Assumptions!$C$109)+Assumptions!$C$110</f>
        <v>792.11136</v>
      </c>
      <c r="F8" s="25" t="n">
        <f aca="false">(Assumptions!$C$48+Assumptions!$C$108)*(1+Assumptions!$C$111)+Drivers!F18*(Assumptions!$C$49+Assumptions!$C$109)+Assumptions!$C$110</f>
        <v>799.68096</v>
      </c>
      <c r="G8" s="25" t="n">
        <f aca="false">(Assumptions!$C$48+Assumptions!$C$108)*(1+Assumptions!$C$111)+Drivers!G18*(Assumptions!$C$49+Assumptions!$C$109)+Assumptions!$C$110</f>
        <v>808.386</v>
      </c>
      <c r="H8" s="25" t="n">
        <f aca="false">(Assumptions!$C$48+Assumptions!$C$108)*(1+Assumptions!$C$111)+Drivers!H18*(Assumptions!$C$49+Assumptions!$C$109)+Assumptions!$C$110</f>
        <v>817.848</v>
      </c>
      <c r="I8" s="25" t="n">
        <f aca="false">(Assumptions!$C$48+Assumptions!$C$108)*(1+Assumptions!$C$111)+Drivers!I18*(Assumptions!$C$49+Assumptions!$C$109)+Assumptions!$C$110</f>
        <v>836.772</v>
      </c>
      <c r="J8" s="25" t="n">
        <f aca="false">(Assumptions!$C$48+Assumptions!$C$108)*(1+Assumptions!$C$111)+Drivers!J18*(Assumptions!$C$49+Assumptions!$C$109)+Assumptions!$C$110</f>
        <v>867.0504</v>
      </c>
      <c r="K8" s="25" t="n">
        <f aca="false">(Assumptions!$C$48+Assumptions!$C$108)*(1+Assumptions!$C$111)+Drivers!K18*(Assumptions!$C$49+Assumptions!$C$109)+Assumptions!$C$110</f>
        <v>908.6832</v>
      </c>
      <c r="L8" s="25" t="n">
        <f aca="false">(Assumptions!$C$48+Assumptions!$C$108)*(1+Assumptions!$C$111)+Drivers!L18*(Assumptions!$C$49+Assumptions!$C$109)+Assumptions!$C$110</f>
        <v>969.24</v>
      </c>
      <c r="M8" s="25" t="n">
        <f aca="false">(Assumptions!$C$48+Assumptions!$C$108)*(1+Assumptions!$C$111)+Drivers!M18*(Assumptions!$C$49+Assumptions!$C$109)+Assumptions!$C$110</f>
        <v>1052.5056</v>
      </c>
      <c r="N8" s="25" t="n">
        <f aca="false">(Assumptions!$C$48+Assumptions!$C$108)*(1+Assumptions!$C$111)+Drivers!N18*(Assumptions!$C$49+Assumptions!$C$109)+Assumptions!$C$110</f>
        <v>1158.48</v>
      </c>
      <c r="O8" s="25" t="n">
        <f aca="false">(Assumptions!$C$48+Assumptions!$C$108)*(1+Assumptions!$C$111)+Drivers!O18*(Assumptions!$C$49+Assumptions!$C$109)+Assumptions!$C$110</f>
        <v>1234.176</v>
      </c>
      <c r="P8" s="25" t="n">
        <f aca="false">(Assumptions!$C$48+Assumptions!$C$108)*(1+Assumptions!$C$111)+Drivers!P18*(Assumptions!$C$49+Assumptions!$C$109)+Assumptions!$C$110</f>
        <v>1328.796</v>
      </c>
      <c r="Q8" s="25" t="n">
        <f aca="false">(Assumptions!$C$48+Assumptions!$C$108)*(1+Assumptions!$C$111)+Drivers!Q18*(Assumptions!$C$49+Assumptions!$C$109)+Assumptions!$C$110</f>
        <v>1430.9856</v>
      </c>
      <c r="R8" s="25" t="n">
        <f aca="false">(Assumptions!$C$48+Assumptions!$C$108)*(1+Assumptions!$C$111)+Drivers!R18*(Assumptions!$C$49+Assumptions!$C$109)+Assumptions!$C$110</f>
        <v>1555.884</v>
      </c>
      <c r="S8" s="25" t="n">
        <f aca="false">(Assumptions!$C$48+Assumptions!$C$108)*(1+Assumptions!$C$111)+Drivers!S18*(Assumptions!$C$49+Assumptions!$C$109)+Assumptions!$C$110</f>
        <v>1726.2</v>
      </c>
      <c r="T8" s="25" t="n">
        <f aca="false">(Assumptions!$C$48+Assumptions!$C$108)*(1+Assumptions!$C$111)+Drivers!T18*(Assumptions!$C$49+Assumptions!$C$109)+Assumptions!$C$110</f>
        <v>1915.44</v>
      </c>
      <c r="U8" s="25" t="n">
        <f aca="false">(Assumptions!$C$48+Assumptions!$C$108)*(1+Assumptions!$C$111)+Drivers!U18*(Assumptions!$C$49+Assumptions!$C$109)+Assumptions!$C$110</f>
        <v>1972.212</v>
      </c>
      <c r="V8" s="25" t="n">
        <f aca="false">(Assumptions!$C$48+Assumptions!$C$108)*(1+Assumptions!$C$111)+Drivers!V18*(Assumptions!$C$49+Assumptions!$C$109)+Assumptions!$C$110</f>
        <v>2028.984</v>
      </c>
      <c r="W8" s="25" t="n">
        <f aca="false">(Assumptions!$C$48+Assumptions!$C$108)*(1+Assumptions!$C$111)+Drivers!W18*(Assumptions!$C$49+Assumptions!$C$109)+Assumptions!$C$110</f>
        <v>2085.756</v>
      </c>
      <c r="X8" s="25" t="n">
        <f aca="false">(Assumptions!$C$48+Assumptions!$C$108)*(1+Assumptions!$C$111)+Drivers!X18*(Assumptions!$C$49+Assumptions!$C$109)+Assumptions!$C$110</f>
        <v>2142.528</v>
      </c>
      <c r="Y8" s="25" t="n">
        <f aca="false">(Assumptions!$C$48+Assumptions!$C$108)*(1+Assumptions!$C$111)+Drivers!Y18*(Assumptions!$C$49+Assumptions!$C$109)+Assumptions!$C$110</f>
        <v>2199.3</v>
      </c>
      <c r="Z8" s="25" t="n">
        <f aca="false">(Assumptions!$C$48+Assumptions!$C$108)*(1+Assumptions!$C$111)+Drivers!Z18*(Assumptions!$C$49+Assumptions!$C$109)+Assumptions!$C$110</f>
        <v>2256.072</v>
      </c>
      <c r="AA8" s="25" t="n">
        <f aca="false">(Assumptions!$C$48+Assumptions!$C$108)*(1+Assumptions!$C$111)+Drivers!AA18*(Assumptions!$C$49+Assumptions!$C$109)+Assumptions!$C$110</f>
        <v>2331.768</v>
      </c>
      <c r="AB8" s="25" t="n">
        <f aca="false">(Assumptions!$C$48+Assumptions!$C$108)*(1+Assumptions!$C$111)+Drivers!AB18*(Assumptions!$C$49+Assumptions!$C$109)+Assumptions!$C$110</f>
        <v>2407.464</v>
      </c>
      <c r="AC8" s="25" t="n">
        <f aca="false">(Assumptions!$C$48+Assumptions!$C$108)*(1+Assumptions!$C$111)+Drivers!AC18*(Assumptions!$C$49+Assumptions!$C$109)+Assumptions!$C$110</f>
        <v>2483.16</v>
      </c>
      <c r="AD8" s="25" t="n">
        <f aca="false">(Assumptions!$C$48+Assumptions!$C$108)*(1+Assumptions!$C$111)+Drivers!AD18*(Assumptions!$C$49+Assumptions!$C$109)+Assumptions!$C$110</f>
        <v>2539.932</v>
      </c>
      <c r="AE8" s="25" t="n">
        <f aca="false">(Assumptions!$C$48+Assumptions!$C$108)*(1+Assumptions!$C$111)+Drivers!AE18*(Assumptions!$C$49+Assumptions!$C$109)+Assumptions!$C$110</f>
        <v>2604.2736</v>
      </c>
      <c r="AF8" s="25" t="n">
        <f aca="false">(Assumptions!$C$48+Assumptions!$C$108)*(1+Assumptions!$C$111)+Drivers!AF18*(Assumptions!$C$49+Assumptions!$C$109)+Assumptions!$C$110</f>
        <v>2672.4</v>
      </c>
    </row>
    <row r="9" customFormat="false" ht="15" hidden="false" customHeight="true" outlineLevel="0" collapsed="false">
      <c r="B9" s="12" t="s">
        <v>353</v>
      </c>
      <c r="C9" s="25" t="n">
        <f aca="false">Assumptions!$C$50*Drivers!C23</f>
        <v>1700</v>
      </c>
      <c r="D9" s="25" t="n">
        <f aca="false">Assumptions!$C$50*Drivers!D23</f>
        <v>1700</v>
      </c>
      <c r="E9" s="25" t="n">
        <f aca="false">Assumptions!$C$50*Drivers!E23</f>
        <v>1700</v>
      </c>
      <c r="F9" s="25" t="n">
        <f aca="false">Assumptions!$C$50*Drivers!F23</f>
        <v>1700</v>
      </c>
      <c r="G9" s="25" t="n">
        <f aca="false">Assumptions!$C$50*Drivers!G23</f>
        <v>1700</v>
      </c>
      <c r="H9" s="25" t="n">
        <f aca="false">Assumptions!$C$50*Drivers!H23</f>
        <v>1700</v>
      </c>
      <c r="I9" s="25" t="n">
        <f aca="false">Assumptions!$C$50*Drivers!I23</f>
        <v>1700</v>
      </c>
      <c r="J9" s="25" t="n">
        <f aca="false">Assumptions!$C$50*Drivers!J23</f>
        <v>1700</v>
      </c>
      <c r="K9" s="25" t="n">
        <f aca="false">Assumptions!$C$50*Drivers!K23</f>
        <v>1700</v>
      </c>
      <c r="L9" s="25" t="n">
        <f aca="false">Assumptions!$C$50*Drivers!L23</f>
        <v>1700</v>
      </c>
      <c r="M9" s="25" t="n">
        <f aca="false">Assumptions!$C$50*Drivers!M23</f>
        <v>1700</v>
      </c>
      <c r="N9" s="25" t="n">
        <f aca="false">Assumptions!$C$50*Drivers!N23</f>
        <v>1700</v>
      </c>
      <c r="O9" s="25" t="n">
        <f aca="false">Assumptions!$C$50*Drivers!O23</f>
        <v>1700</v>
      </c>
      <c r="P9" s="25" t="n">
        <f aca="false">Assumptions!$C$50*Drivers!P23</f>
        <v>1700</v>
      </c>
      <c r="Q9" s="25" t="n">
        <f aca="false">Assumptions!$C$50*Drivers!Q23</f>
        <v>1700</v>
      </c>
      <c r="R9" s="25" t="n">
        <f aca="false">Assumptions!$C$50*Drivers!R23</f>
        <v>1700</v>
      </c>
      <c r="S9" s="25" t="n">
        <f aca="false">Assumptions!$C$50*Drivers!S23</f>
        <v>1700</v>
      </c>
      <c r="T9" s="25" t="n">
        <f aca="false">Assumptions!$C$50*Drivers!T23</f>
        <v>1700</v>
      </c>
      <c r="U9" s="25" t="n">
        <f aca="false">Assumptions!$C$50*Drivers!U23</f>
        <v>1700</v>
      </c>
      <c r="V9" s="25" t="n">
        <f aca="false">Assumptions!$C$50*Drivers!V23</f>
        <v>1700</v>
      </c>
      <c r="W9" s="25" t="n">
        <f aca="false">Assumptions!$C$50*Drivers!W23</f>
        <v>1700</v>
      </c>
      <c r="X9" s="25" t="n">
        <f aca="false">Assumptions!$C$50*Drivers!X23</f>
        <v>1700</v>
      </c>
      <c r="Y9" s="25" t="n">
        <f aca="false">Assumptions!$C$50*Drivers!Y23</f>
        <v>1700</v>
      </c>
      <c r="Z9" s="25" t="n">
        <f aca="false">Assumptions!$C$50*Drivers!Z23</f>
        <v>1700</v>
      </c>
      <c r="AA9" s="25" t="n">
        <f aca="false">Assumptions!$C$50*Drivers!AA23</f>
        <v>1700</v>
      </c>
      <c r="AB9" s="25" t="n">
        <f aca="false">Assumptions!$C$50*Drivers!AB23</f>
        <v>1700</v>
      </c>
      <c r="AC9" s="25" t="n">
        <f aca="false">Assumptions!$C$50*Drivers!AC23</f>
        <v>1700</v>
      </c>
      <c r="AD9" s="25" t="n">
        <f aca="false">Assumptions!$C$50*Drivers!AD23</f>
        <v>1700</v>
      </c>
      <c r="AE9" s="25" t="n">
        <f aca="false">Assumptions!$C$50*Drivers!AE23</f>
        <v>1700</v>
      </c>
      <c r="AF9" s="25" t="n">
        <f aca="false">Assumptions!$C$50*Drivers!AF23</f>
        <v>1700</v>
      </c>
    </row>
    <row r="10" customFormat="false" ht="15" hidden="false" customHeight="true" outlineLevel="0" collapsed="false">
      <c r="B10" s="12" t="s">
        <v>354</v>
      </c>
      <c r="C10" s="25" t="n">
        <f aca="false">Assumptions!$C$51*Drivers!C23</f>
        <v>1300</v>
      </c>
      <c r="D10" s="25" t="n">
        <f aca="false">Assumptions!$C$51*Drivers!D23</f>
        <v>1300</v>
      </c>
      <c r="E10" s="25" t="n">
        <f aca="false">Assumptions!$C$51*Drivers!E23</f>
        <v>1300</v>
      </c>
      <c r="F10" s="25" t="n">
        <f aca="false">Assumptions!$C$51*Drivers!F23</f>
        <v>1300</v>
      </c>
      <c r="G10" s="25" t="n">
        <f aca="false">Assumptions!$C$51*Drivers!G23</f>
        <v>1300</v>
      </c>
      <c r="H10" s="25" t="n">
        <f aca="false">Assumptions!$C$51*Drivers!H23</f>
        <v>1300</v>
      </c>
      <c r="I10" s="25" t="n">
        <f aca="false">Assumptions!$C$51*Drivers!I23</f>
        <v>1300</v>
      </c>
      <c r="J10" s="25" t="n">
        <f aca="false">Assumptions!$C$51*Drivers!J23</f>
        <v>1300</v>
      </c>
      <c r="K10" s="25" t="n">
        <f aca="false">Assumptions!$C$51*Drivers!K23</f>
        <v>1300</v>
      </c>
      <c r="L10" s="25" t="n">
        <f aca="false">Assumptions!$C$51*Drivers!L23</f>
        <v>1300</v>
      </c>
      <c r="M10" s="25" t="n">
        <f aca="false">Assumptions!$C$51*Drivers!M23</f>
        <v>1300</v>
      </c>
      <c r="N10" s="25" t="n">
        <f aca="false">Assumptions!$C$51*Drivers!N23</f>
        <v>1300</v>
      </c>
      <c r="O10" s="25" t="n">
        <f aca="false">Assumptions!$C$51*Drivers!O23</f>
        <v>1300</v>
      </c>
      <c r="P10" s="25" t="n">
        <f aca="false">Assumptions!$C$51*Drivers!P23</f>
        <v>1300</v>
      </c>
      <c r="Q10" s="25" t="n">
        <f aca="false">Assumptions!$C$51*Drivers!Q23</f>
        <v>1300</v>
      </c>
      <c r="R10" s="25" t="n">
        <f aca="false">Assumptions!$C$51*Drivers!R23</f>
        <v>1300</v>
      </c>
      <c r="S10" s="25" t="n">
        <f aca="false">Assumptions!$C$51*Drivers!S23</f>
        <v>1300</v>
      </c>
      <c r="T10" s="25" t="n">
        <f aca="false">Assumptions!$C$51*Drivers!T23</f>
        <v>1300</v>
      </c>
      <c r="U10" s="25" t="n">
        <f aca="false">Assumptions!$C$51*Drivers!U23</f>
        <v>1300</v>
      </c>
      <c r="V10" s="25" t="n">
        <f aca="false">Assumptions!$C$51*Drivers!V23</f>
        <v>1300</v>
      </c>
      <c r="W10" s="25" t="n">
        <f aca="false">Assumptions!$C$51*Drivers!W23</f>
        <v>1300</v>
      </c>
      <c r="X10" s="25" t="n">
        <f aca="false">Assumptions!$C$51*Drivers!X23</f>
        <v>1300</v>
      </c>
      <c r="Y10" s="25" t="n">
        <f aca="false">Assumptions!$C$51*Drivers!Y23</f>
        <v>1300</v>
      </c>
      <c r="Z10" s="25" t="n">
        <f aca="false">Assumptions!$C$51*Drivers!Z23</f>
        <v>1300</v>
      </c>
      <c r="AA10" s="25" t="n">
        <f aca="false">Assumptions!$C$51*Drivers!AA23</f>
        <v>1300</v>
      </c>
      <c r="AB10" s="25" t="n">
        <f aca="false">Assumptions!$C$51*Drivers!AB23</f>
        <v>1300</v>
      </c>
      <c r="AC10" s="25" t="n">
        <f aca="false">Assumptions!$C$51*Drivers!AC23</f>
        <v>1300</v>
      </c>
      <c r="AD10" s="25" t="n">
        <f aca="false">Assumptions!$C$51*Drivers!AD23</f>
        <v>1300</v>
      </c>
      <c r="AE10" s="25" t="n">
        <f aca="false">Assumptions!$C$51*Drivers!AE23</f>
        <v>1300</v>
      </c>
      <c r="AF10" s="25" t="n">
        <f aca="false">Assumptions!$C$51*Drivers!AF23</f>
        <v>1300</v>
      </c>
    </row>
    <row r="11" customFormat="false" ht="15" hidden="false" customHeight="true" outlineLevel="0" collapsed="false">
      <c r="B11" s="42" t="s">
        <v>355</v>
      </c>
      <c r="C11" s="43" t="n">
        <f aca="false">C6+C7+C8+C9+C10</f>
        <v>4842.98784</v>
      </c>
      <c r="D11" s="43" t="n">
        <f aca="false">D6+D7+D8+D9+D10</f>
        <v>4846.77264</v>
      </c>
      <c r="E11" s="43" t="n">
        <f aca="false">E6+E7+E8+E9+E10</f>
        <v>4852.07136</v>
      </c>
      <c r="F11" s="43" t="n">
        <f aca="false">F6+F7+F8+F9+F10</f>
        <v>4859.64096</v>
      </c>
      <c r="G11" s="43" t="n">
        <f aca="false">G6+G7+G8+G9+G10</f>
        <v>4868.346</v>
      </c>
      <c r="H11" s="43" t="n">
        <f aca="false">H6+H7+H8+H9+H10</f>
        <v>4877.808</v>
      </c>
      <c r="I11" s="43" t="n">
        <f aca="false">I6+I7+I8+I9+I10</f>
        <v>4896.732</v>
      </c>
      <c r="J11" s="43" t="n">
        <f aca="false">J6+J7+J8+J9+J10</f>
        <v>4927.0104</v>
      </c>
      <c r="K11" s="43" t="n">
        <f aca="false">K6+K7+K8+K9+K10</f>
        <v>4968.6432</v>
      </c>
      <c r="L11" s="43" t="n">
        <f aca="false">L6+L7+L8+L9+L10</f>
        <v>5134.32</v>
      </c>
      <c r="M11" s="43" t="n">
        <f aca="false">M6+M7+M8+M9+M10</f>
        <v>5322.7056</v>
      </c>
      <c r="N11" s="43" t="n">
        <f aca="false">N6+N7+N8+N9+N10</f>
        <v>5744.04</v>
      </c>
      <c r="O11" s="43" t="n">
        <f aca="false">O6+O7+O8+O9+O10</f>
        <v>6018.88</v>
      </c>
      <c r="P11" s="43" t="n">
        <f aca="false">P6+P7+P8+P9+P10</f>
        <v>6435.1672</v>
      </c>
      <c r="Q11" s="43" t="n">
        <f aca="false">Q6+Q7+Q8+Q9+Q10</f>
        <v>6751.8016</v>
      </c>
      <c r="R11" s="43" t="n">
        <f aca="false">R6+R7+R8+R9+R10</f>
        <v>7198.3672</v>
      </c>
      <c r="S11" s="43" t="n">
        <f aca="false">S6+S7+S8+S9+S10</f>
        <v>7690.3504</v>
      </c>
      <c r="T11" s="43" t="n">
        <f aca="false">T6+T7+T8+T9+T10</f>
        <v>8308.48</v>
      </c>
      <c r="U11" s="43" t="n">
        <f aca="false">U6+U7+U8+U9+U10</f>
        <v>8579.6968</v>
      </c>
      <c r="V11" s="43" t="n">
        <f aca="false">V6+V7+V8+V9+V10</f>
        <v>8743.6912</v>
      </c>
      <c r="W11" s="43" t="n">
        <f aca="false">W6+W7+W8+W9+W10</f>
        <v>8907.6856</v>
      </c>
      <c r="X11" s="43" t="n">
        <f aca="false">X6+X7+X8+X9+X10</f>
        <v>9071.68</v>
      </c>
      <c r="Y11" s="43" t="n">
        <f aca="false">Y6+Y7+Y8+Y9+Y10</f>
        <v>9342.8968</v>
      </c>
      <c r="Z11" s="43" t="n">
        <f aca="false">Z6+Z7+Z8+Z9+Z10</f>
        <v>9506.8912</v>
      </c>
      <c r="AA11" s="43" t="n">
        <f aca="false">AA6+AA7+AA8+AA9+AA10</f>
        <v>9969.3704</v>
      </c>
      <c r="AB11" s="43" t="n">
        <f aca="false">AB6+AB7+AB8+AB9+AB10</f>
        <v>10155.12704</v>
      </c>
      <c r="AC11" s="43" t="n">
        <f aca="false">AC6+AC7+AC8+AC9+AC10</f>
        <v>10450.94432</v>
      </c>
      <c r="AD11" s="43" t="n">
        <f aca="false">AD6+AD7+AD8+AD9+AD10</f>
        <v>10617.77696</v>
      </c>
      <c r="AE11" s="43" t="n">
        <f aca="false">AE6+AE7+AE8+AE9+AE10</f>
        <v>10902.23984</v>
      </c>
      <c r="AF11" s="43" t="n">
        <f aca="false">AF6+AF7+AF8+AF9+AF10</f>
        <v>11080.42688</v>
      </c>
    </row>
    <row r="12" customFormat="false" ht="15" hidden="false" customHeight="true" outlineLevel="0" collapsed="false">
      <c r="B12" s="16" t="s">
        <v>356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 customFormat="false" ht="15" hidden="false" customHeight="true" outlineLevel="0" collapsed="false">
      <c r="B13" s="12" t="s">
        <v>357</v>
      </c>
      <c r="C13" s="25" t="n">
        <f aca="false">MAX(0,MIN(Drivers!C9,100000)-Assumptions!$C$53)*Assumptions!$C$54+MAX(0,MIN(Drivers!C9,1000000)-100000)*Assumptions!$C$55+MAX(0,MIN(Drivers!C9,10000000)-1000000)*Assumptions!$C$56+MAX(0,Drivers!C9-10000000)*Assumptions!$C$57</f>
        <v>0</v>
      </c>
      <c r="D13" s="25" t="n">
        <f aca="false">MAX(0,MIN(Drivers!D9,100000)-Assumptions!$C$53)*Assumptions!$C$54+MAX(0,MIN(Drivers!D9,1000000)-100000)*Assumptions!$C$55+MAX(0,MIN(Drivers!D9,10000000)-1000000)*Assumptions!$C$56+MAX(0,Drivers!D9-10000000)*Assumptions!$C$57</f>
        <v>0</v>
      </c>
      <c r="E13" s="25" t="n">
        <f aca="false">MAX(0,MIN(Drivers!E9,100000)-Assumptions!$C$53)*Assumptions!$C$54+MAX(0,MIN(Drivers!E9,1000000)-100000)*Assumptions!$C$55+MAX(0,MIN(Drivers!E9,10000000)-1000000)*Assumptions!$C$56+MAX(0,Drivers!E9-10000000)*Assumptions!$C$57</f>
        <v>0</v>
      </c>
      <c r="F13" s="25" t="n">
        <f aca="false">MAX(0,MIN(Drivers!F9,100000)-Assumptions!$C$53)*Assumptions!$C$54+MAX(0,MIN(Drivers!F9,1000000)-100000)*Assumptions!$C$55+MAX(0,MIN(Drivers!F9,10000000)-1000000)*Assumptions!$C$56+MAX(0,Drivers!F9-10000000)*Assumptions!$C$57</f>
        <v>0</v>
      </c>
      <c r="G13" s="25" t="n">
        <f aca="false">MAX(0,MIN(Drivers!G9,100000)-Assumptions!$C$53)*Assumptions!$C$54+MAX(0,MIN(Drivers!G9,1000000)-100000)*Assumptions!$C$55+MAX(0,MIN(Drivers!G9,10000000)-1000000)*Assumptions!$C$56+MAX(0,Drivers!G9-10000000)*Assumptions!$C$57</f>
        <v>0</v>
      </c>
      <c r="H13" s="25" t="n">
        <f aca="false">MAX(0,MIN(Drivers!H9,100000)-Assumptions!$C$53)*Assumptions!$C$54+MAX(0,MIN(Drivers!H9,1000000)-100000)*Assumptions!$C$55+MAX(0,MIN(Drivers!H9,10000000)-1000000)*Assumptions!$C$56+MAX(0,Drivers!H9-10000000)*Assumptions!$C$57</f>
        <v>0</v>
      </c>
      <c r="I13" s="25" t="n">
        <f aca="false">MAX(0,MIN(Drivers!I9,100000)-Assumptions!$C$53)*Assumptions!$C$54+MAX(0,MIN(Drivers!I9,1000000)-100000)*Assumptions!$C$55+MAX(0,MIN(Drivers!I9,10000000)-1000000)*Assumptions!$C$56+MAX(0,Drivers!I9-10000000)*Assumptions!$C$57</f>
        <v>96.25</v>
      </c>
      <c r="J13" s="25" t="n">
        <f aca="false">MAX(0,MIN(Drivers!J9,100000)-Assumptions!$C$53)*Assumptions!$C$54+MAX(0,MIN(Drivers!J9,1000000)-100000)*Assumptions!$C$55+MAX(0,MIN(Drivers!J9,10000000)-1000000)*Assumptions!$C$56+MAX(0,Drivers!J9-10000000)*Assumptions!$C$57</f>
        <v>291.1</v>
      </c>
      <c r="K13" s="25" t="n">
        <f aca="false">MAX(0,MIN(Drivers!K9,100000)-Assumptions!$C$53)*Assumptions!$C$54+MAX(0,MIN(Drivers!K9,1000000)-100000)*Assumptions!$C$55+MAX(0,MIN(Drivers!K9,10000000)-1000000)*Assumptions!$C$56+MAX(0,Drivers!K9-10000000)*Assumptions!$C$57</f>
        <v>518.8</v>
      </c>
      <c r="L13" s="25" t="n">
        <f aca="false">MAX(0,MIN(Drivers!L9,100000)-Assumptions!$C$53)*Assumptions!$C$54+MAX(0,MIN(Drivers!L9,1000000)-100000)*Assumptions!$C$55+MAX(0,MIN(Drivers!L9,10000000)-1000000)*Assumptions!$C$56+MAX(0,Drivers!L9-10000000)*Assumptions!$C$57</f>
        <v>850</v>
      </c>
      <c r="M13" s="25" t="n">
        <f aca="false">MAX(0,MIN(Drivers!M9,100000)-Assumptions!$C$53)*Assumptions!$C$54+MAX(0,MIN(Drivers!M9,1000000)-100000)*Assumptions!$C$55+MAX(0,MIN(Drivers!M9,10000000)-1000000)*Assumptions!$C$56+MAX(0,Drivers!M9-10000000)*Assumptions!$C$57</f>
        <v>1305.4</v>
      </c>
      <c r="N13" s="25" t="n">
        <f aca="false">MAX(0,MIN(Drivers!N9,100000)-Assumptions!$C$53)*Assumptions!$C$54+MAX(0,MIN(Drivers!N9,1000000)-100000)*Assumptions!$C$55+MAX(0,MIN(Drivers!N9,10000000)-1000000)*Assumptions!$C$56+MAX(0,Drivers!N9-10000000)*Assumptions!$C$57</f>
        <v>1885</v>
      </c>
      <c r="O13" s="25" t="n">
        <f aca="false">MAX(0,MIN(Drivers!O9,100000)-Assumptions!$C$53)*Assumptions!$C$54+MAX(0,MIN(Drivers!O9,1000000)-100000)*Assumptions!$C$55+MAX(0,MIN(Drivers!O9,10000000)-1000000)*Assumptions!$C$56+MAX(0,Drivers!O9-10000000)*Assumptions!$C$57</f>
        <v>2299</v>
      </c>
      <c r="P13" s="25" t="n">
        <f aca="false">MAX(0,MIN(Drivers!P9,100000)-Assumptions!$C$53)*Assumptions!$C$54+MAX(0,MIN(Drivers!P9,1000000)-100000)*Assumptions!$C$55+MAX(0,MIN(Drivers!P9,10000000)-1000000)*Assumptions!$C$56+MAX(0,Drivers!P9-10000000)*Assumptions!$C$57</f>
        <v>2816.5</v>
      </c>
      <c r="Q13" s="25" t="n">
        <f aca="false">MAX(0,MIN(Drivers!Q9,100000)-Assumptions!$C$53)*Assumptions!$C$54+MAX(0,MIN(Drivers!Q9,1000000)-100000)*Assumptions!$C$55+MAX(0,MIN(Drivers!Q9,10000000)-1000000)*Assumptions!$C$56+MAX(0,Drivers!Q9-10000000)*Assumptions!$C$57</f>
        <v>3375.4</v>
      </c>
      <c r="R13" s="25" t="n">
        <f aca="false">MAX(0,MIN(Drivers!R9,100000)-Assumptions!$C$53)*Assumptions!$C$54+MAX(0,MIN(Drivers!R9,1000000)-100000)*Assumptions!$C$55+MAX(0,MIN(Drivers!R9,10000000)-1000000)*Assumptions!$C$56+MAX(0,Drivers!R9-10000000)*Assumptions!$C$57</f>
        <v>4058.5</v>
      </c>
      <c r="S13" s="25" t="n">
        <f aca="false">MAX(0,MIN(Drivers!S9,100000)-Assumptions!$C$53)*Assumptions!$C$54+MAX(0,MIN(Drivers!S9,1000000)-100000)*Assumptions!$C$55+MAX(0,MIN(Drivers!S9,10000000)-1000000)*Assumptions!$C$56+MAX(0,Drivers!S9-10000000)*Assumptions!$C$57</f>
        <v>4821.25</v>
      </c>
      <c r="T13" s="25" t="n">
        <f aca="false">MAX(0,MIN(Drivers!T9,100000)-Assumptions!$C$53)*Assumptions!$C$54+MAX(0,MIN(Drivers!T9,1000000)-100000)*Assumptions!$C$55+MAX(0,MIN(Drivers!T9,10000000)-1000000)*Assumptions!$C$56+MAX(0,Drivers!T9-10000000)*Assumptions!$C$57</f>
        <v>5552.5</v>
      </c>
      <c r="U13" s="25" t="n">
        <f aca="false">MAX(0,MIN(Drivers!U9,100000)-Assumptions!$C$53)*Assumptions!$C$54+MAX(0,MIN(Drivers!U9,1000000)-100000)*Assumptions!$C$55+MAX(0,MIN(Drivers!U9,10000000)-1000000)*Assumptions!$C$56+MAX(0,Drivers!U9-10000000)*Assumptions!$C$57</f>
        <v>5771.875</v>
      </c>
      <c r="V13" s="25" t="n">
        <f aca="false">MAX(0,MIN(Drivers!V9,100000)-Assumptions!$C$53)*Assumptions!$C$54+MAX(0,MIN(Drivers!V9,1000000)-100000)*Assumptions!$C$55+MAX(0,MIN(Drivers!V9,10000000)-1000000)*Assumptions!$C$56+MAX(0,Drivers!V9-10000000)*Assumptions!$C$57</f>
        <v>5991.25</v>
      </c>
      <c r="W13" s="25" t="n">
        <f aca="false">MAX(0,MIN(Drivers!W9,100000)-Assumptions!$C$53)*Assumptions!$C$54+MAX(0,MIN(Drivers!W9,1000000)-100000)*Assumptions!$C$55+MAX(0,MIN(Drivers!W9,10000000)-1000000)*Assumptions!$C$56+MAX(0,Drivers!W9-10000000)*Assumptions!$C$57</f>
        <v>6210.625</v>
      </c>
      <c r="X13" s="25" t="n">
        <f aca="false">MAX(0,MIN(Drivers!X9,100000)-Assumptions!$C$53)*Assumptions!$C$54+MAX(0,MIN(Drivers!X9,1000000)-100000)*Assumptions!$C$55+MAX(0,MIN(Drivers!X9,10000000)-1000000)*Assumptions!$C$56+MAX(0,Drivers!X9-10000000)*Assumptions!$C$57</f>
        <v>6430</v>
      </c>
      <c r="Y13" s="25" t="n">
        <f aca="false">MAX(0,MIN(Drivers!Y9,100000)-Assumptions!$C$53)*Assumptions!$C$54+MAX(0,MIN(Drivers!Y9,1000000)-100000)*Assumptions!$C$55+MAX(0,MIN(Drivers!Y9,10000000)-1000000)*Assumptions!$C$56+MAX(0,Drivers!Y9-10000000)*Assumptions!$C$57</f>
        <v>6649.375</v>
      </c>
      <c r="Z13" s="25" t="n">
        <f aca="false">MAX(0,MIN(Drivers!Z9,100000)-Assumptions!$C$53)*Assumptions!$C$54+MAX(0,MIN(Drivers!Z9,1000000)-100000)*Assumptions!$C$55+MAX(0,MIN(Drivers!Z9,10000000)-1000000)*Assumptions!$C$56+MAX(0,Drivers!Z9-10000000)*Assumptions!$C$57</f>
        <v>6868.75</v>
      </c>
      <c r="AA13" s="25" t="n">
        <f aca="false">MAX(0,MIN(Drivers!AA9,100000)-Assumptions!$C$53)*Assumptions!$C$54+MAX(0,MIN(Drivers!AA9,1000000)-100000)*Assumptions!$C$55+MAX(0,MIN(Drivers!AA9,10000000)-1000000)*Assumptions!$C$56+MAX(0,Drivers!AA9-10000000)*Assumptions!$C$57</f>
        <v>7161.25</v>
      </c>
      <c r="AB13" s="25" t="n">
        <f aca="false">MAX(0,MIN(Drivers!AB9,100000)-Assumptions!$C$53)*Assumptions!$C$54+MAX(0,MIN(Drivers!AB9,1000000)-100000)*Assumptions!$C$55+MAX(0,MIN(Drivers!AB9,10000000)-1000000)*Assumptions!$C$56+MAX(0,Drivers!AB9-10000000)*Assumptions!$C$57</f>
        <v>7453.75</v>
      </c>
      <c r="AC13" s="25" t="n">
        <f aca="false">MAX(0,MIN(Drivers!AC9,100000)-Assumptions!$C$53)*Assumptions!$C$54+MAX(0,MIN(Drivers!AC9,1000000)-100000)*Assumptions!$C$55+MAX(0,MIN(Drivers!AC9,10000000)-1000000)*Assumptions!$C$56+MAX(0,Drivers!AC9-10000000)*Assumptions!$C$57</f>
        <v>7746.25</v>
      </c>
      <c r="AD13" s="25" t="n">
        <f aca="false">MAX(0,MIN(Drivers!AD9,100000)-Assumptions!$C$53)*Assumptions!$C$54+MAX(0,MIN(Drivers!AD9,1000000)-100000)*Assumptions!$C$55+MAX(0,MIN(Drivers!AD9,10000000)-1000000)*Assumptions!$C$56+MAX(0,Drivers!AD9-10000000)*Assumptions!$C$57</f>
        <v>7965.625</v>
      </c>
      <c r="AE13" s="25" t="n">
        <f aca="false">MAX(0,MIN(Drivers!AE9,100000)-Assumptions!$C$53)*Assumptions!$C$54+MAX(0,MIN(Drivers!AE9,1000000)-100000)*Assumptions!$C$55+MAX(0,MIN(Drivers!AE9,10000000)-1000000)*Assumptions!$C$56+MAX(0,Drivers!AE9-10000000)*Assumptions!$C$57</f>
        <v>8214.25</v>
      </c>
      <c r="AF13" s="25" t="n">
        <f aca="false">MAX(0,MIN(Drivers!AF9,100000)-Assumptions!$C$53)*Assumptions!$C$54+MAX(0,MIN(Drivers!AF9,1000000)-100000)*Assumptions!$C$55+MAX(0,MIN(Drivers!AF9,10000000)-1000000)*Assumptions!$C$56+MAX(0,Drivers!AF9-10000000)*Assumptions!$C$57</f>
        <v>8477.5</v>
      </c>
    </row>
    <row r="14" customFormat="false" ht="15" hidden="false" customHeight="true" outlineLevel="0" collapsed="false">
      <c r="B14" s="12" t="s">
        <v>358</v>
      </c>
      <c r="C14" s="25" t="n">
        <f aca="false">Assumptions!$C$58*Drivers!C24+Drivers!C18*Assumptions!$C$59</f>
        <v>77.1888</v>
      </c>
      <c r="D14" s="25" t="n">
        <f aca="false">Assumptions!$C$58*Drivers!D24+Drivers!D18*Assumptions!$C$59</f>
        <v>79.9248</v>
      </c>
      <c r="E14" s="25" t="n">
        <f aca="false">Assumptions!$C$58*Drivers!E24+Drivers!E18*Assumptions!$C$59</f>
        <v>83.7552</v>
      </c>
      <c r="F14" s="25" t="n">
        <f aca="false">Assumptions!$C$58*Drivers!F24+Drivers!F18*Assumptions!$C$59</f>
        <v>89.2272</v>
      </c>
      <c r="G14" s="25" t="n">
        <f aca="false">Assumptions!$C$58*Drivers!G24+Drivers!G18*Assumptions!$C$59</f>
        <v>95.52</v>
      </c>
      <c r="H14" s="25" t="n">
        <f aca="false">Assumptions!$C$58*Drivers!H24+Drivers!H18*Assumptions!$C$59</f>
        <v>102.36</v>
      </c>
      <c r="I14" s="25" t="n">
        <f aca="false">Assumptions!$C$58*Drivers!I24+Drivers!I18*Assumptions!$C$59</f>
        <v>116.04</v>
      </c>
      <c r="J14" s="25" t="n">
        <f aca="false">Assumptions!$C$58*Drivers!J24+Drivers!J18*Assumptions!$C$59</f>
        <v>137.928</v>
      </c>
      <c r="K14" s="25" t="n">
        <f aca="false">Assumptions!$C$58*Drivers!K24+Drivers!K18*Assumptions!$C$59</f>
        <v>168.024</v>
      </c>
      <c r="L14" s="25" t="n">
        <f aca="false">Assumptions!$C$58*Drivers!L24+Drivers!L18*Assumptions!$C$59</f>
        <v>211.8</v>
      </c>
      <c r="M14" s="25" t="n">
        <f aca="false">Assumptions!$C$58*Drivers!M24+Drivers!M18*Assumptions!$C$59</f>
        <v>271.992</v>
      </c>
      <c r="N14" s="25" t="n">
        <f aca="false">Assumptions!$C$58*Drivers!N24+Drivers!N18*Assumptions!$C$59</f>
        <v>348.6</v>
      </c>
      <c r="O14" s="25" t="n">
        <f aca="false">Assumptions!$C$58*Drivers!O24+Drivers!O18*Assumptions!$C$59</f>
        <v>428.32</v>
      </c>
      <c r="P14" s="25" t="n">
        <f aca="false">Assumptions!$C$58*Drivers!P24+Drivers!P18*Assumptions!$C$59</f>
        <v>496.72</v>
      </c>
      <c r="Q14" s="25" t="n">
        <f aca="false">Assumptions!$C$58*Drivers!Q24+Drivers!Q18*Assumptions!$C$59</f>
        <v>570.592</v>
      </c>
      <c r="R14" s="25" t="n">
        <f aca="false">Assumptions!$C$58*Drivers!R24+Drivers!R18*Assumptions!$C$59</f>
        <v>660.88</v>
      </c>
      <c r="S14" s="25" t="n">
        <f aca="false">Assumptions!$C$58*Drivers!S24+Drivers!S18*Assumptions!$C$59</f>
        <v>784</v>
      </c>
      <c r="T14" s="25" t="n">
        <f aca="false">Assumptions!$C$58*Drivers!T24+Drivers!T18*Assumptions!$C$59</f>
        <v>920.8</v>
      </c>
      <c r="U14" s="25" t="n">
        <f aca="false">Assumptions!$C$58*Drivers!U24+Drivers!U18*Assumptions!$C$59</f>
        <v>961.84</v>
      </c>
      <c r="V14" s="25" t="n">
        <f aca="false">Assumptions!$C$58*Drivers!V24+Drivers!V18*Assumptions!$C$59</f>
        <v>1002.88</v>
      </c>
      <c r="W14" s="25" t="n">
        <f aca="false">Assumptions!$C$58*Drivers!W24+Drivers!W18*Assumptions!$C$59</f>
        <v>1043.92</v>
      </c>
      <c r="X14" s="25" t="n">
        <f aca="false">Assumptions!$C$58*Drivers!X24+Drivers!X18*Assumptions!$C$59</f>
        <v>1084.96</v>
      </c>
      <c r="Y14" s="25" t="n">
        <f aca="false">Assumptions!$C$58*Drivers!Y24+Drivers!Y18*Assumptions!$C$59</f>
        <v>1126</v>
      </c>
      <c r="Z14" s="25" t="n">
        <f aca="false">Assumptions!$C$58*Drivers!Z24+Drivers!Z18*Assumptions!$C$59</f>
        <v>1167.04</v>
      </c>
      <c r="AA14" s="25" t="n">
        <f aca="false">Assumptions!$C$58*Drivers!AA24+Drivers!AA18*Assumptions!$C$59</f>
        <v>1246.76</v>
      </c>
      <c r="AB14" s="25" t="n">
        <f aca="false">Assumptions!$C$58*Drivers!AB24+Drivers!AB18*Assumptions!$C$59</f>
        <v>1301.48</v>
      </c>
      <c r="AC14" s="25" t="n">
        <f aca="false">Assumptions!$C$58*Drivers!AC24+Drivers!AC18*Assumptions!$C$59</f>
        <v>1356.2</v>
      </c>
      <c r="AD14" s="25" t="n">
        <f aca="false">Assumptions!$C$58*Drivers!AD24+Drivers!AD18*Assumptions!$C$59</f>
        <v>1397.24</v>
      </c>
      <c r="AE14" s="25" t="n">
        <f aca="false">Assumptions!$C$58*Drivers!AE24+Drivers!AE18*Assumptions!$C$59</f>
        <v>1443.752</v>
      </c>
      <c r="AF14" s="25" t="n">
        <f aca="false">Assumptions!$C$58*Drivers!AF24+Drivers!AF18*Assumptions!$C$59</f>
        <v>1493</v>
      </c>
    </row>
    <row r="15" customFormat="false" ht="15" hidden="false" customHeight="true" outlineLevel="0" collapsed="false">
      <c r="B15" s="42" t="s">
        <v>359</v>
      </c>
      <c r="C15" s="43" t="n">
        <f aca="false">C13+C14</f>
        <v>77.1888</v>
      </c>
      <c r="D15" s="43" t="n">
        <f aca="false">D13+D14</f>
        <v>79.9248</v>
      </c>
      <c r="E15" s="43" t="n">
        <f aca="false">E13+E14</f>
        <v>83.7552</v>
      </c>
      <c r="F15" s="43" t="n">
        <f aca="false">F13+F14</f>
        <v>89.2272</v>
      </c>
      <c r="G15" s="43" t="n">
        <f aca="false">G13+G14</f>
        <v>95.52</v>
      </c>
      <c r="H15" s="43" t="n">
        <f aca="false">H13+H14</f>
        <v>102.36</v>
      </c>
      <c r="I15" s="43" t="n">
        <f aca="false">I13+I14</f>
        <v>212.29</v>
      </c>
      <c r="J15" s="43" t="n">
        <f aca="false">J13+J14</f>
        <v>429.028</v>
      </c>
      <c r="K15" s="43" t="n">
        <f aca="false">K13+K14</f>
        <v>686.824</v>
      </c>
      <c r="L15" s="43" t="n">
        <f aca="false">L13+L14</f>
        <v>1061.8</v>
      </c>
      <c r="M15" s="43" t="n">
        <f aca="false">M13+M14</f>
        <v>1577.392</v>
      </c>
      <c r="N15" s="43" t="n">
        <f aca="false">N13+N14</f>
        <v>2233.6</v>
      </c>
      <c r="O15" s="43" t="n">
        <f aca="false">O13+O14</f>
        <v>2727.32</v>
      </c>
      <c r="P15" s="43" t="n">
        <f aca="false">P13+P14</f>
        <v>3313.22</v>
      </c>
      <c r="Q15" s="43" t="n">
        <f aca="false">Q13+Q14</f>
        <v>3945.992</v>
      </c>
      <c r="R15" s="43" t="n">
        <f aca="false">R13+R14</f>
        <v>4719.38</v>
      </c>
      <c r="S15" s="43" t="n">
        <f aca="false">S13+S14</f>
        <v>5605.25</v>
      </c>
      <c r="T15" s="43" t="n">
        <f aca="false">T13+T14</f>
        <v>6473.3</v>
      </c>
      <c r="U15" s="43" t="n">
        <f aca="false">U13+U14</f>
        <v>6733.715</v>
      </c>
      <c r="V15" s="43" t="n">
        <f aca="false">V13+V14</f>
        <v>6994.13</v>
      </c>
      <c r="W15" s="43" t="n">
        <f aca="false">W13+W14</f>
        <v>7254.545</v>
      </c>
      <c r="X15" s="43" t="n">
        <f aca="false">X13+X14</f>
        <v>7514.96</v>
      </c>
      <c r="Y15" s="43" t="n">
        <f aca="false">Y13+Y14</f>
        <v>7775.375</v>
      </c>
      <c r="Z15" s="43" t="n">
        <f aca="false">Z13+Z14</f>
        <v>8035.79</v>
      </c>
      <c r="AA15" s="43" t="n">
        <f aca="false">AA13+AA14</f>
        <v>8408.01</v>
      </c>
      <c r="AB15" s="43" t="n">
        <f aca="false">AB13+AB14</f>
        <v>8755.23</v>
      </c>
      <c r="AC15" s="43" t="n">
        <f aca="false">AC13+AC14</f>
        <v>9102.45</v>
      </c>
      <c r="AD15" s="43" t="n">
        <f aca="false">AD13+AD14</f>
        <v>9362.865</v>
      </c>
      <c r="AE15" s="43" t="n">
        <f aca="false">AE13+AE14</f>
        <v>9658.002</v>
      </c>
      <c r="AF15" s="43" t="n">
        <f aca="false">AF13+AF14</f>
        <v>9970.5</v>
      </c>
    </row>
    <row r="16" customFormat="false" ht="15" hidden="false" customHeight="true" outlineLevel="0" collapsed="false">
      <c r="B16" s="16" t="s">
        <v>360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customFormat="false" ht="15" hidden="false" customHeight="true" outlineLevel="0" collapsed="false">
      <c r="B17" s="12" t="s">
        <v>361</v>
      </c>
      <c r="C17" s="25" t="n">
        <f aca="false">Assumptions!$C$61*Assumptions!$C$62*730*Drivers!C24</f>
        <v>98.55</v>
      </c>
      <c r="D17" s="25" t="n">
        <f aca="false">Assumptions!$C$61*Assumptions!$C$62*730*Drivers!D24</f>
        <v>98.55</v>
      </c>
      <c r="E17" s="25" t="n">
        <f aca="false">Assumptions!$C$61*Assumptions!$C$62*730*Drivers!E24</f>
        <v>98.55</v>
      </c>
      <c r="F17" s="25" t="n">
        <f aca="false">Assumptions!$C$61*Assumptions!$C$62*730*Drivers!F24</f>
        <v>98.55</v>
      </c>
      <c r="G17" s="25" t="n">
        <f aca="false">Assumptions!$C$61*Assumptions!$C$62*730*Drivers!G24</f>
        <v>98.55</v>
      </c>
      <c r="H17" s="25" t="n">
        <f aca="false">Assumptions!$C$61*Assumptions!$C$62*730*Drivers!H24</f>
        <v>98.55</v>
      </c>
      <c r="I17" s="25" t="n">
        <f aca="false">Assumptions!$C$61*Assumptions!$C$62*730*Drivers!I24</f>
        <v>98.55</v>
      </c>
      <c r="J17" s="25" t="n">
        <f aca="false">Assumptions!$C$61*Assumptions!$C$62*730*Drivers!J24</f>
        <v>98.55</v>
      </c>
      <c r="K17" s="25" t="n">
        <f aca="false">Assumptions!$C$61*Assumptions!$C$62*730*Drivers!K24</f>
        <v>98.55</v>
      </c>
      <c r="L17" s="25" t="n">
        <f aca="false">Assumptions!$C$61*Assumptions!$C$62*730*Drivers!L24</f>
        <v>98.55</v>
      </c>
      <c r="M17" s="25" t="n">
        <f aca="false">Assumptions!$C$61*Assumptions!$C$62*730*Drivers!M24</f>
        <v>98.55</v>
      </c>
      <c r="N17" s="25" t="n">
        <f aca="false">Assumptions!$C$61*Assumptions!$C$62*730*Drivers!N24</f>
        <v>98.55</v>
      </c>
      <c r="O17" s="25" t="n">
        <f aca="false">Assumptions!$C$61*Assumptions!$C$62*730*Drivers!O24</f>
        <v>131.4</v>
      </c>
      <c r="P17" s="25" t="n">
        <f aca="false">Assumptions!$C$61*Assumptions!$C$62*730*Drivers!P24</f>
        <v>131.4</v>
      </c>
      <c r="Q17" s="25" t="n">
        <f aca="false">Assumptions!$C$61*Assumptions!$C$62*730*Drivers!Q24</f>
        <v>131.4</v>
      </c>
      <c r="R17" s="25" t="n">
        <f aca="false">Assumptions!$C$61*Assumptions!$C$62*730*Drivers!R24</f>
        <v>131.4</v>
      </c>
      <c r="S17" s="25" t="n">
        <f aca="false">Assumptions!$C$61*Assumptions!$C$62*730*Drivers!S24</f>
        <v>131.4</v>
      </c>
      <c r="T17" s="25" t="n">
        <f aca="false">Assumptions!$C$61*Assumptions!$C$62*730*Drivers!T24</f>
        <v>131.4</v>
      </c>
      <c r="U17" s="25" t="n">
        <f aca="false">Assumptions!$C$61*Assumptions!$C$62*730*Drivers!U24</f>
        <v>131.4</v>
      </c>
      <c r="V17" s="25" t="n">
        <f aca="false">Assumptions!$C$61*Assumptions!$C$62*730*Drivers!V24</f>
        <v>131.4</v>
      </c>
      <c r="W17" s="25" t="n">
        <f aca="false">Assumptions!$C$61*Assumptions!$C$62*730*Drivers!W24</f>
        <v>131.4</v>
      </c>
      <c r="X17" s="25" t="n">
        <f aca="false">Assumptions!$C$61*Assumptions!$C$62*730*Drivers!X24</f>
        <v>131.4</v>
      </c>
      <c r="Y17" s="25" t="n">
        <f aca="false">Assumptions!$C$61*Assumptions!$C$62*730*Drivers!Y24</f>
        <v>131.4</v>
      </c>
      <c r="Z17" s="25" t="n">
        <f aca="false">Assumptions!$C$61*Assumptions!$C$62*730*Drivers!Z24</f>
        <v>131.4</v>
      </c>
      <c r="AA17" s="25" t="n">
        <f aca="false">Assumptions!$C$61*Assumptions!$C$62*730*Drivers!AA24</f>
        <v>164.25</v>
      </c>
      <c r="AB17" s="25" t="n">
        <f aca="false">Assumptions!$C$61*Assumptions!$C$62*730*Drivers!AB24</f>
        <v>164.25</v>
      </c>
      <c r="AC17" s="25" t="n">
        <f aca="false">Assumptions!$C$61*Assumptions!$C$62*730*Drivers!AC24</f>
        <v>164.25</v>
      </c>
      <c r="AD17" s="25" t="n">
        <f aca="false">Assumptions!$C$61*Assumptions!$C$62*730*Drivers!AD24</f>
        <v>164.25</v>
      </c>
      <c r="AE17" s="25" t="n">
        <f aca="false">Assumptions!$C$61*Assumptions!$C$62*730*Drivers!AE24</f>
        <v>164.25</v>
      </c>
      <c r="AF17" s="25" t="n">
        <f aca="false">Assumptions!$C$61*Assumptions!$C$62*730*Drivers!AF24</f>
        <v>164.25</v>
      </c>
    </row>
    <row r="18" customFormat="false" ht="15" hidden="false" customHeight="true" outlineLevel="0" collapsed="false">
      <c r="B18" s="12" t="s">
        <v>362</v>
      </c>
      <c r="C18" s="25" t="n">
        <f aca="false">Assumptions!$C$65*Assumptions!$C$66*730*Drivers!C24</f>
        <v>197.1</v>
      </c>
      <c r="D18" s="25" t="n">
        <f aca="false">Assumptions!$C$65*Assumptions!$C$66*730*Drivers!D24</f>
        <v>197.1</v>
      </c>
      <c r="E18" s="25" t="n">
        <f aca="false">Assumptions!$C$65*Assumptions!$C$66*730*Drivers!E24</f>
        <v>197.1</v>
      </c>
      <c r="F18" s="25" t="n">
        <f aca="false">Assumptions!$C$65*Assumptions!$C$66*730*Drivers!F24</f>
        <v>197.1</v>
      </c>
      <c r="G18" s="25" t="n">
        <f aca="false">Assumptions!$C$65*Assumptions!$C$66*730*Drivers!G24</f>
        <v>197.1</v>
      </c>
      <c r="H18" s="25" t="n">
        <f aca="false">Assumptions!$C$65*Assumptions!$C$66*730*Drivers!H24</f>
        <v>197.1</v>
      </c>
      <c r="I18" s="25" t="n">
        <f aca="false">Assumptions!$C$65*Assumptions!$C$66*730*Drivers!I24</f>
        <v>197.1</v>
      </c>
      <c r="J18" s="25" t="n">
        <f aca="false">Assumptions!$C$65*Assumptions!$C$66*730*Drivers!J24</f>
        <v>197.1</v>
      </c>
      <c r="K18" s="25" t="n">
        <f aca="false">Assumptions!$C$65*Assumptions!$C$66*730*Drivers!K24</f>
        <v>197.1</v>
      </c>
      <c r="L18" s="25" t="n">
        <f aca="false">Assumptions!$C$65*Assumptions!$C$66*730*Drivers!L24</f>
        <v>197.1</v>
      </c>
      <c r="M18" s="25" t="n">
        <f aca="false">Assumptions!$C$65*Assumptions!$C$66*730*Drivers!M24</f>
        <v>197.1</v>
      </c>
      <c r="N18" s="25" t="n">
        <f aca="false">Assumptions!$C$65*Assumptions!$C$66*730*Drivers!N24</f>
        <v>197.1</v>
      </c>
      <c r="O18" s="25" t="n">
        <f aca="false">Assumptions!$C$65*Assumptions!$C$66*730*Drivers!O24</f>
        <v>262.8</v>
      </c>
      <c r="P18" s="25" t="n">
        <f aca="false">Assumptions!$C$65*Assumptions!$C$66*730*Drivers!P24</f>
        <v>262.8</v>
      </c>
      <c r="Q18" s="25" t="n">
        <f aca="false">Assumptions!$C$65*Assumptions!$C$66*730*Drivers!Q24</f>
        <v>262.8</v>
      </c>
      <c r="R18" s="25" t="n">
        <f aca="false">Assumptions!$C$65*Assumptions!$C$66*730*Drivers!R24</f>
        <v>262.8</v>
      </c>
      <c r="S18" s="25" t="n">
        <f aca="false">Assumptions!$C$65*Assumptions!$C$66*730*Drivers!S24</f>
        <v>262.8</v>
      </c>
      <c r="T18" s="25" t="n">
        <f aca="false">Assumptions!$C$65*Assumptions!$C$66*730*Drivers!T24</f>
        <v>262.8</v>
      </c>
      <c r="U18" s="25" t="n">
        <f aca="false">Assumptions!$C$65*Assumptions!$C$66*730*Drivers!U24</f>
        <v>262.8</v>
      </c>
      <c r="V18" s="25" t="n">
        <f aca="false">Assumptions!$C$65*Assumptions!$C$66*730*Drivers!V24</f>
        <v>262.8</v>
      </c>
      <c r="W18" s="25" t="n">
        <f aca="false">Assumptions!$C$65*Assumptions!$C$66*730*Drivers!W24</f>
        <v>262.8</v>
      </c>
      <c r="X18" s="25" t="n">
        <f aca="false">Assumptions!$C$65*Assumptions!$C$66*730*Drivers!X24</f>
        <v>262.8</v>
      </c>
      <c r="Y18" s="25" t="n">
        <f aca="false">Assumptions!$C$65*Assumptions!$C$66*730*Drivers!Y24</f>
        <v>262.8</v>
      </c>
      <c r="Z18" s="25" t="n">
        <f aca="false">Assumptions!$C$65*Assumptions!$C$66*730*Drivers!Z24</f>
        <v>262.8</v>
      </c>
      <c r="AA18" s="25" t="n">
        <f aca="false">Assumptions!$C$65*Assumptions!$C$66*730*Drivers!AA24</f>
        <v>328.5</v>
      </c>
      <c r="AB18" s="25" t="n">
        <f aca="false">Assumptions!$C$65*Assumptions!$C$66*730*Drivers!AB24</f>
        <v>328.5</v>
      </c>
      <c r="AC18" s="25" t="n">
        <f aca="false">Assumptions!$C$65*Assumptions!$C$66*730*Drivers!AC24</f>
        <v>328.5</v>
      </c>
      <c r="AD18" s="25" t="n">
        <f aca="false">Assumptions!$C$65*Assumptions!$C$66*730*Drivers!AD24</f>
        <v>328.5</v>
      </c>
      <c r="AE18" s="25" t="n">
        <f aca="false">Assumptions!$C$65*Assumptions!$C$66*730*Drivers!AE24</f>
        <v>328.5</v>
      </c>
      <c r="AF18" s="25" t="n">
        <f aca="false">Assumptions!$C$65*Assumptions!$C$66*730*Drivers!AF24</f>
        <v>328.5</v>
      </c>
    </row>
    <row r="19" customFormat="false" ht="15" hidden="false" customHeight="true" outlineLevel="0" collapsed="false">
      <c r="B19" s="12" t="s">
        <v>363</v>
      </c>
      <c r="C19" s="25" t="n">
        <f aca="false">Drivers!C18*Assumptions!$C$63*Drivers!C22</f>
        <v>0.3648</v>
      </c>
      <c r="D19" s="25" t="n">
        <f aca="false">Drivers!D18*Assumptions!$C$63*Drivers!D22</f>
        <v>0.8208</v>
      </c>
      <c r="E19" s="25" t="n">
        <f aca="false">Drivers!E18*Assumptions!$C$63*Drivers!E22</f>
        <v>1.4592</v>
      </c>
      <c r="F19" s="25" t="n">
        <f aca="false">Drivers!F18*Assumptions!$C$63*Drivers!F22</f>
        <v>2.3712</v>
      </c>
      <c r="G19" s="25" t="n">
        <f aca="false">Drivers!G18*Assumptions!$C$63*Drivers!G22</f>
        <v>3.42</v>
      </c>
      <c r="H19" s="25" t="n">
        <f aca="false">Drivers!H18*Assumptions!$C$63*Drivers!H22</f>
        <v>4.56</v>
      </c>
      <c r="I19" s="25" t="n">
        <f aca="false">Drivers!I18*Assumptions!$C$63*Drivers!I22</f>
        <v>6.84</v>
      </c>
      <c r="J19" s="25" t="n">
        <f aca="false">Drivers!J18*Assumptions!$C$63*Drivers!J22</f>
        <v>10.488</v>
      </c>
      <c r="K19" s="25" t="n">
        <f aca="false">Drivers!K18*Assumptions!$C$63*Drivers!K22</f>
        <v>15.504</v>
      </c>
      <c r="L19" s="25" t="n">
        <f aca="false">Drivers!L18*Assumptions!$C$63*Drivers!L22</f>
        <v>22.8</v>
      </c>
      <c r="M19" s="25" t="n">
        <f aca="false">Drivers!M18*Assumptions!$C$63*Drivers!M22</f>
        <v>32.832</v>
      </c>
      <c r="N19" s="25" t="n">
        <f aca="false">Drivers!N18*Assumptions!$C$63*Drivers!N22</f>
        <v>45.6</v>
      </c>
      <c r="O19" s="25" t="n">
        <f aca="false">Drivers!O18*Assumptions!$C$63*Drivers!O22</f>
        <v>55.8144</v>
      </c>
      <c r="P19" s="25" t="n">
        <f aca="false">Drivers!P18*Assumptions!$C$63*Drivers!P22</f>
        <v>67.4424</v>
      </c>
      <c r="Q19" s="25" t="n">
        <f aca="false">Drivers!Q18*Assumptions!$C$63*Drivers!Q22</f>
        <v>80.00064</v>
      </c>
      <c r="R19" s="25" t="n">
        <f aca="false">Drivers!R18*Assumptions!$C$63*Drivers!R22</f>
        <v>95.3496</v>
      </c>
      <c r="S19" s="25" t="n">
        <f aca="false">Drivers!S18*Assumptions!$C$63*Drivers!S22</f>
        <v>116.28</v>
      </c>
      <c r="T19" s="25" t="n">
        <f aca="false">Drivers!T18*Assumptions!$C$63*Drivers!T22</f>
        <v>139.536</v>
      </c>
      <c r="U19" s="25" t="n">
        <f aca="false">Drivers!U18*Assumptions!$C$63*Drivers!U22</f>
        <v>146.5128</v>
      </c>
      <c r="V19" s="25" t="n">
        <f aca="false">Drivers!V18*Assumptions!$C$63*Drivers!V22</f>
        <v>153.4896</v>
      </c>
      <c r="W19" s="25" t="n">
        <f aca="false">Drivers!W18*Assumptions!$C$63*Drivers!W22</f>
        <v>160.4664</v>
      </c>
      <c r="X19" s="25" t="n">
        <f aca="false">Drivers!X18*Assumptions!$C$63*Drivers!X22</f>
        <v>167.4432</v>
      </c>
      <c r="Y19" s="25" t="n">
        <f aca="false">Drivers!Y18*Assumptions!$C$63*Drivers!Y22</f>
        <v>174.42</v>
      </c>
      <c r="Z19" s="25" t="n">
        <f aca="false">Drivers!Z18*Assumptions!$C$63*Drivers!Z22</f>
        <v>181.3968</v>
      </c>
      <c r="AA19" s="25" t="n">
        <f aca="false">Drivers!AA18*Assumptions!$C$63*Drivers!AA22</f>
        <v>195.74712</v>
      </c>
      <c r="AB19" s="25" t="n">
        <f aca="false">Drivers!AB18*Assumptions!$C$63*Drivers!AB22</f>
        <v>205.29576</v>
      </c>
      <c r="AC19" s="25" t="n">
        <f aca="false">Drivers!AC18*Assumptions!$C$63*Drivers!AC22</f>
        <v>214.8444</v>
      </c>
      <c r="AD19" s="25" t="n">
        <f aca="false">Drivers!AD18*Assumptions!$C$63*Drivers!AD22</f>
        <v>222.00588</v>
      </c>
      <c r="AE19" s="25" t="n">
        <f aca="false">Drivers!AE18*Assumptions!$C$63*Drivers!AE22</f>
        <v>230.122224</v>
      </c>
      <c r="AF19" s="25" t="n">
        <f aca="false">Drivers!AF18*Assumptions!$C$63*Drivers!AF22</f>
        <v>238.716</v>
      </c>
    </row>
    <row r="20" customFormat="false" ht="15" hidden="false" customHeight="true" outlineLevel="0" collapsed="false">
      <c r="B20" s="12" t="s">
        <v>364</v>
      </c>
      <c r="C20" s="25" t="n">
        <f aca="false">Drivers!C17*Assumptions!$C$64*Drivers!C22</f>
        <v>20.0390625</v>
      </c>
      <c r="D20" s="25" t="n">
        <f aca="false">Drivers!D17*Assumptions!$C$64*Drivers!D22</f>
        <v>45.087890625</v>
      </c>
      <c r="E20" s="25" t="n">
        <f aca="false">Drivers!E17*Assumptions!$C$64*Drivers!E22</f>
        <v>80.15625</v>
      </c>
      <c r="F20" s="25" t="n">
        <f aca="false">Drivers!F17*Assumptions!$C$64*Drivers!F22</f>
        <v>130.25390625</v>
      </c>
      <c r="G20" s="25" t="n">
        <f aca="false">Drivers!G17*Assumptions!$C$64*Drivers!G22</f>
        <v>187.8662109375</v>
      </c>
      <c r="H20" s="25" t="n">
        <f aca="false">Drivers!H17*Assumptions!$C$64*Drivers!H22</f>
        <v>250.48828125</v>
      </c>
      <c r="I20" s="25" t="n">
        <f aca="false">Drivers!I17*Assumptions!$C$64*Drivers!I22</f>
        <v>375.732421875</v>
      </c>
      <c r="J20" s="25" t="n">
        <f aca="false">Drivers!J17*Assumptions!$C$64*Drivers!J22</f>
        <v>576.123046875</v>
      </c>
      <c r="K20" s="25" t="n">
        <f aca="false">Drivers!K17*Assumptions!$C$64*Drivers!K22</f>
        <v>851.66015625</v>
      </c>
      <c r="L20" s="25" t="n">
        <f aca="false">Drivers!L17*Assumptions!$C$64*Drivers!L22</f>
        <v>1252.44140625</v>
      </c>
      <c r="M20" s="25" t="n">
        <f aca="false">Drivers!M17*Assumptions!$C$64*Drivers!M22</f>
        <v>1803.515625</v>
      </c>
      <c r="N20" s="25" t="n">
        <f aca="false">Drivers!N17*Assumptions!$C$64*Drivers!N22</f>
        <v>2504.8828125</v>
      </c>
      <c r="O20" s="25" t="n">
        <f aca="false">Drivers!O17*Assumptions!$C$64*Drivers!O22</f>
        <v>3065.9765625</v>
      </c>
      <c r="P20" s="25" t="n">
        <f aca="false">Drivers!P17*Assumptions!$C$64*Drivers!P22</f>
        <v>3704.7216796875</v>
      </c>
      <c r="Q20" s="25" t="n">
        <f aca="false">Drivers!Q17*Assumptions!$C$64*Drivers!Q22</f>
        <v>4394.56640625</v>
      </c>
      <c r="R20" s="25" t="n">
        <f aca="false">Drivers!R17*Assumptions!$C$64*Drivers!R22</f>
        <v>5237.7099609375</v>
      </c>
      <c r="S20" s="25" t="n">
        <f aca="false">Drivers!S17*Assumptions!$C$64*Drivers!S22</f>
        <v>6387.451171875</v>
      </c>
      <c r="T20" s="25" t="n">
        <f aca="false">Drivers!T17*Assumptions!$C$64*Drivers!T22</f>
        <v>7664.94140625</v>
      </c>
      <c r="U20" s="25" t="n">
        <f aca="false">Drivers!U17*Assumptions!$C$64*Drivers!U22</f>
        <v>8048.1884765625</v>
      </c>
      <c r="V20" s="25" t="n">
        <f aca="false">Drivers!V17*Assumptions!$C$64*Drivers!V22</f>
        <v>8431.435546875</v>
      </c>
      <c r="W20" s="25" t="n">
        <f aca="false">Drivers!W17*Assumptions!$C$64*Drivers!W22</f>
        <v>8814.6826171875</v>
      </c>
      <c r="X20" s="25" t="n">
        <f aca="false">Drivers!X17*Assumptions!$C$64*Drivers!X22</f>
        <v>9197.9296875</v>
      </c>
      <c r="Y20" s="25" t="n">
        <f aca="false">Drivers!Y17*Assumptions!$C$64*Drivers!Y22</f>
        <v>9581.1767578125</v>
      </c>
      <c r="Z20" s="25" t="n">
        <f aca="false">Drivers!Z17*Assumptions!$C$64*Drivers!Z22</f>
        <v>9964.423828125</v>
      </c>
      <c r="AA20" s="25" t="n">
        <f aca="false">Drivers!AA17*Assumptions!$C$64*Drivers!AA22</f>
        <v>10752.7104492188</v>
      </c>
      <c r="AB20" s="25" t="n">
        <f aca="false">Drivers!AB17*Assumptions!$C$64*Drivers!AB22</f>
        <v>11277.2329101563</v>
      </c>
      <c r="AC20" s="25" t="n">
        <f aca="false">Drivers!AC17*Assumptions!$C$64*Drivers!AC22</f>
        <v>11801.7553710938</v>
      </c>
      <c r="AD20" s="25" t="n">
        <f aca="false">Drivers!AD17*Assumptions!$C$64*Drivers!AD22</f>
        <v>12195.1472167969</v>
      </c>
      <c r="AE20" s="25" t="n">
        <f aca="false">Drivers!AE17*Assumptions!$C$64*Drivers!AE22</f>
        <v>12640.9913085938</v>
      </c>
      <c r="AF20" s="25" t="n">
        <f aca="false">Drivers!AF17*Assumptions!$C$64*Drivers!AF22</f>
        <v>13113.0615234375</v>
      </c>
    </row>
    <row r="21" customFormat="false" ht="15" hidden="false" customHeight="true" outlineLevel="0" collapsed="false">
      <c r="B21" s="42" t="s">
        <v>365</v>
      </c>
      <c r="C21" s="43" t="n">
        <f aca="false">C17+C18+C19+C20</f>
        <v>316.0538625</v>
      </c>
      <c r="D21" s="43" t="n">
        <f aca="false">D17+D18+D19+D20</f>
        <v>341.558690625</v>
      </c>
      <c r="E21" s="43" t="n">
        <f aca="false">E17+E18+E19+E20</f>
        <v>377.26545</v>
      </c>
      <c r="F21" s="43" t="n">
        <f aca="false">F17+F18+F19+F20</f>
        <v>428.27510625</v>
      </c>
      <c r="G21" s="43" t="n">
        <f aca="false">G17+G18+G19+G20</f>
        <v>486.9362109375</v>
      </c>
      <c r="H21" s="43" t="n">
        <f aca="false">H17+H18+H19+H20</f>
        <v>550.69828125</v>
      </c>
      <c r="I21" s="43" t="n">
        <f aca="false">I17+I18+I19+I20</f>
        <v>678.222421875</v>
      </c>
      <c r="J21" s="43" t="n">
        <f aca="false">J17+J18+J19+J20</f>
        <v>882.261046875</v>
      </c>
      <c r="K21" s="43" t="n">
        <f aca="false">K17+K18+K19+K20</f>
        <v>1162.81415625</v>
      </c>
      <c r="L21" s="43" t="n">
        <f aca="false">L17+L18+L19+L20</f>
        <v>1570.89140625</v>
      </c>
      <c r="M21" s="43" t="n">
        <f aca="false">M17+M18+M19+M20</f>
        <v>2131.997625</v>
      </c>
      <c r="N21" s="43" t="n">
        <f aca="false">N17+N18+N19+N20</f>
        <v>2846.1328125</v>
      </c>
      <c r="O21" s="43" t="n">
        <f aca="false">O17+O18+O19+O20</f>
        <v>3515.9909625</v>
      </c>
      <c r="P21" s="43" t="n">
        <f aca="false">P17+P18+P19+P20</f>
        <v>4166.3640796875</v>
      </c>
      <c r="Q21" s="43" t="n">
        <f aca="false">Q17+Q18+Q19+Q20</f>
        <v>4868.76704625</v>
      </c>
      <c r="R21" s="43" t="n">
        <f aca="false">R17+R18+R19+R20</f>
        <v>5727.2595609375</v>
      </c>
      <c r="S21" s="43" t="n">
        <f aca="false">S17+S18+S19+S20</f>
        <v>6897.931171875</v>
      </c>
      <c r="T21" s="43" t="n">
        <f aca="false">T17+T18+T19+T20</f>
        <v>8198.67740625</v>
      </c>
      <c r="U21" s="43" t="n">
        <f aca="false">U17+U18+U19+U20</f>
        <v>8588.9012765625</v>
      </c>
      <c r="V21" s="43" t="n">
        <f aca="false">V17+V18+V19+V20</f>
        <v>8979.125146875</v>
      </c>
      <c r="W21" s="43" t="n">
        <f aca="false">W17+W18+W19+W20</f>
        <v>9369.3490171875</v>
      </c>
      <c r="X21" s="43" t="n">
        <f aca="false">X17+X18+X19+X20</f>
        <v>9759.5728875</v>
      </c>
      <c r="Y21" s="43" t="n">
        <f aca="false">Y17+Y18+Y19+Y20</f>
        <v>10149.7967578125</v>
      </c>
      <c r="Z21" s="43" t="n">
        <f aca="false">Z17+Z18+Z19+Z20</f>
        <v>10540.020628125</v>
      </c>
      <c r="AA21" s="43" t="n">
        <f aca="false">AA17+AA18+AA19+AA20</f>
        <v>11441.2075692188</v>
      </c>
      <c r="AB21" s="43" t="n">
        <f aca="false">AB17+AB18+AB19+AB20</f>
        <v>11975.2786701563</v>
      </c>
      <c r="AC21" s="43" t="n">
        <f aca="false">AC17+AC18+AC19+AC20</f>
        <v>12509.3497710938</v>
      </c>
      <c r="AD21" s="43" t="n">
        <f aca="false">AD17+AD18+AD19+AD20</f>
        <v>12909.9030967969</v>
      </c>
      <c r="AE21" s="43" t="n">
        <f aca="false">AE17+AE18+AE19+AE20</f>
        <v>13363.8635325938</v>
      </c>
      <c r="AF21" s="43" t="n">
        <f aca="false">AF17+AF18+AF19+AF20</f>
        <v>13844.5275234375</v>
      </c>
    </row>
    <row r="22" customFormat="false" ht="15" hidden="false" customHeight="true" outlineLevel="0" collapsed="false">
      <c r="B22" s="16" t="s">
        <v>366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customFormat="false" ht="15" hidden="false" customHeight="true" outlineLevel="0" collapsed="false">
      <c r="B23" s="12" t="s">
        <v>367</v>
      </c>
      <c r="C23" s="25" t="n">
        <f aca="false">(MAX(Assumptions!$C$69,Drivers!C8/Assumptions!$C$68)*Drivers!C22+Assumptions!$C$70*(Assumptions!$C$9-1))*Assumptions!$C$71*730</f>
        <v>1051.2</v>
      </c>
      <c r="D23" s="25" t="n">
        <f aca="false">(MAX(Assumptions!$C$69,Drivers!D8/Assumptions!$C$68)*Drivers!D22+Assumptions!$C$70*(Assumptions!$C$9-1))*Assumptions!$C$71*730</f>
        <v>1051.2</v>
      </c>
      <c r="E23" s="25" t="n">
        <f aca="false">(MAX(Assumptions!$C$69,Drivers!E8/Assumptions!$C$68)*Drivers!E22+Assumptions!$C$70*(Assumptions!$C$9-1))*Assumptions!$C$71*730</f>
        <v>1051.2</v>
      </c>
      <c r="F23" s="25" t="n">
        <f aca="false">(MAX(Assumptions!$C$69,Drivers!F8/Assumptions!$C$68)*Drivers!F22+Assumptions!$C$70*(Assumptions!$C$9-1))*Assumptions!$C$71*730</f>
        <v>1051.2</v>
      </c>
      <c r="G23" s="25" t="n">
        <f aca="false">(MAX(Assumptions!$C$69,Drivers!G8/Assumptions!$C$68)*Drivers!G22+Assumptions!$C$70*(Assumptions!$C$9-1))*Assumptions!$C$71*730</f>
        <v>1051.2</v>
      </c>
      <c r="H23" s="25" t="n">
        <f aca="false">(MAX(Assumptions!$C$69,Drivers!H8/Assumptions!$C$68)*Drivers!H22+Assumptions!$C$70*(Assumptions!$C$9-1))*Assumptions!$C$71*730</f>
        <v>1051.2</v>
      </c>
      <c r="I23" s="25" t="n">
        <f aca="false">(MAX(Assumptions!$C$69,Drivers!I8/Assumptions!$C$68)*Drivers!I22+Assumptions!$C$70*(Assumptions!$C$9-1))*Assumptions!$C$71*730</f>
        <v>1051.2</v>
      </c>
      <c r="J23" s="25" t="n">
        <f aca="false">(MAX(Assumptions!$C$69,Drivers!J8/Assumptions!$C$68)*Drivers!J22+Assumptions!$C$70*(Assumptions!$C$9-1))*Assumptions!$C$71*730</f>
        <v>1051.2</v>
      </c>
      <c r="K23" s="25" t="n">
        <f aca="false">(MAX(Assumptions!$C$69,Drivers!K8/Assumptions!$C$68)*Drivers!K22+Assumptions!$C$70*(Assumptions!$C$9-1))*Assumptions!$C$71*730</f>
        <v>1051.2</v>
      </c>
      <c r="L23" s="25" t="n">
        <f aca="false">(MAX(Assumptions!$C$69,Drivers!L8/Assumptions!$C$68)*Drivers!L22+Assumptions!$C$70*(Assumptions!$C$9-1))*Assumptions!$C$71*730</f>
        <v>1051.2</v>
      </c>
      <c r="M23" s="25" t="n">
        <f aca="false">(MAX(Assumptions!$C$69,Drivers!M8/Assumptions!$C$68)*Drivers!M22+Assumptions!$C$70*(Assumptions!$C$9-1))*Assumptions!$C$71*730</f>
        <v>1051.2</v>
      </c>
      <c r="N23" s="25" t="n">
        <f aca="false">(MAX(Assumptions!$C$69,Drivers!N8/Assumptions!$C$68)*Drivers!N22+Assumptions!$C$70*(Assumptions!$C$9-1))*Assumptions!$C$71*730</f>
        <v>1051.2</v>
      </c>
      <c r="O23" s="25" t="n">
        <f aca="false">(MAX(Assumptions!$C$69,Drivers!O8/Assumptions!$C$68)*Drivers!O22+Assumptions!$C$70*(Assumptions!$C$9-1))*Assumptions!$C$71*730</f>
        <v>1247.424</v>
      </c>
      <c r="P23" s="25" t="n">
        <f aca="false">(MAX(Assumptions!$C$69,Drivers!P8/Assumptions!$C$68)*Drivers!P22+Assumptions!$C$70*(Assumptions!$C$9-1))*Assumptions!$C$71*730</f>
        <v>1470.804</v>
      </c>
      <c r="Q23" s="25" t="n">
        <f aca="false">(MAX(Assumptions!$C$69,Drivers!Q8/Assumptions!$C$68)*Drivers!Q22+Assumptions!$C$70*(Assumptions!$C$9-1))*Assumptions!$C$71*730</f>
        <v>1712.0544</v>
      </c>
      <c r="R23" s="25" t="n">
        <f aca="false">(MAX(Assumptions!$C$69,Drivers!R8/Assumptions!$C$68)*Drivers!R22+Assumptions!$C$70*(Assumptions!$C$9-1))*Assumptions!$C$71*730</f>
        <v>2006.916</v>
      </c>
      <c r="S23" s="25" t="n">
        <f aca="false">(MAX(Assumptions!$C$69,Drivers!S8/Assumptions!$C$68)*Drivers!S22+Assumptions!$C$70*(Assumptions!$C$9-1))*Assumptions!$C$71*730</f>
        <v>2409</v>
      </c>
      <c r="T23" s="25" t="n">
        <f aca="false">(MAX(Assumptions!$C$69,Drivers!T8/Assumptions!$C$68)*Drivers!T22+Assumptions!$C$70*(Assumptions!$C$9-1))*Assumptions!$C$71*730</f>
        <v>2855.76</v>
      </c>
      <c r="U23" s="25" t="n">
        <f aca="false">(MAX(Assumptions!$C$69,Drivers!U8/Assumptions!$C$68)*Drivers!U22+Assumptions!$C$70*(Assumptions!$C$9-1))*Assumptions!$C$71*730</f>
        <v>2989.788</v>
      </c>
      <c r="V23" s="25" t="n">
        <f aca="false">(MAX(Assumptions!$C$69,Drivers!V8/Assumptions!$C$68)*Drivers!V22+Assumptions!$C$70*(Assumptions!$C$9-1))*Assumptions!$C$71*730</f>
        <v>3123.816</v>
      </c>
      <c r="W23" s="25" t="n">
        <f aca="false">(MAX(Assumptions!$C$69,Drivers!W8/Assumptions!$C$68)*Drivers!W22+Assumptions!$C$70*(Assumptions!$C$9-1))*Assumptions!$C$71*730</f>
        <v>3257.844</v>
      </c>
      <c r="X23" s="25" t="n">
        <f aca="false">(MAX(Assumptions!$C$69,Drivers!X8/Assumptions!$C$68)*Drivers!X22+Assumptions!$C$70*(Assumptions!$C$9-1))*Assumptions!$C$71*730</f>
        <v>3391.872</v>
      </c>
      <c r="Y23" s="25" t="n">
        <f aca="false">(MAX(Assumptions!$C$69,Drivers!Y8/Assumptions!$C$68)*Drivers!Y22+Assumptions!$C$70*(Assumptions!$C$9-1))*Assumptions!$C$71*730</f>
        <v>3525.9</v>
      </c>
      <c r="Z23" s="25" t="n">
        <f aca="false">(MAX(Assumptions!$C$69,Drivers!Z8/Assumptions!$C$68)*Drivers!Z22+Assumptions!$C$70*(Assumptions!$C$9-1))*Assumptions!$C$71*730</f>
        <v>3659.928</v>
      </c>
      <c r="AA23" s="25" t="n">
        <f aca="false">(MAX(Assumptions!$C$69,Drivers!AA8/Assumptions!$C$68)*Drivers!AA22+Assumptions!$C$70*(Assumptions!$C$9-1))*Assumptions!$C$71*730</f>
        <v>3935.6052</v>
      </c>
      <c r="AB23" s="25" t="n">
        <f aca="false">(MAX(Assumptions!$C$69,Drivers!AB8/Assumptions!$C$68)*Drivers!AB22+Assumptions!$C$70*(Assumptions!$C$9-1))*Assumptions!$C$71*730</f>
        <v>4119.0396</v>
      </c>
      <c r="AC23" s="25" t="n">
        <f aca="false">(MAX(Assumptions!$C$69,Drivers!AC8/Assumptions!$C$68)*Drivers!AC22+Assumptions!$C$70*(Assumptions!$C$9-1))*Assumptions!$C$71*730</f>
        <v>4302.474</v>
      </c>
      <c r="AD23" s="25" t="n">
        <f aca="false">(MAX(Assumptions!$C$69,Drivers!AD8/Assumptions!$C$68)*Drivers!AD22+Assumptions!$C$70*(Assumptions!$C$9-1))*Assumptions!$C$71*730</f>
        <v>4440.0498</v>
      </c>
      <c r="AE23" s="25" t="n">
        <f aca="false">(MAX(Assumptions!$C$69,Drivers!AE8/Assumptions!$C$68)*Drivers!AE22+Assumptions!$C$70*(Assumptions!$C$9-1))*Assumptions!$C$71*730</f>
        <v>4595.96904</v>
      </c>
      <c r="AF23" s="25" t="n">
        <f aca="false">(MAX(Assumptions!$C$69,Drivers!AF8/Assumptions!$C$68)*Drivers!AF22+Assumptions!$C$70*(Assumptions!$C$9-1))*Assumptions!$C$71*730</f>
        <v>4761.06</v>
      </c>
    </row>
    <row r="24" customFormat="false" ht="15" hidden="false" customHeight="true" outlineLevel="0" collapsed="false">
      <c r="B24" s="12" t="s">
        <v>368</v>
      </c>
      <c r="C24" s="25" t="n">
        <f aca="false">Drivers!C7/1000*Assumptions!$C$73*Assumptions!$C$72*Drivers!C22</f>
        <v>0.4</v>
      </c>
      <c r="D24" s="25" t="n">
        <f aca="false">Drivers!D7/1000*Assumptions!$C$73*Assumptions!$C$72*Drivers!D22</f>
        <v>0.9</v>
      </c>
      <c r="E24" s="25" t="n">
        <f aca="false">Drivers!E7/1000*Assumptions!$C$73*Assumptions!$C$72*Drivers!E22</f>
        <v>1.6</v>
      </c>
      <c r="F24" s="25" t="n">
        <f aca="false">Drivers!F7/1000*Assumptions!$C$73*Assumptions!$C$72*Drivers!F22</f>
        <v>2.6</v>
      </c>
      <c r="G24" s="25" t="n">
        <f aca="false">Drivers!G7/1000*Assumptions!$C$73*Assumptions!$C$72*Drivers!G22</f>
        <v>3.75</v>
      </c>
      <c r="H24" s="25" t="n">
        <f aca="false">Drivers!H7/1000*Assumptions!$C$73*Assumptions!$C$72*Drivers!H22</f>
        <v>5</v>
      </c>
      <c r="I24" s="25" t="n">
        <f aca="false">Drivers!I7/1000*Assumptions!$C$73*Assumptions!$C$72*Drivers!I22</f>
        <v>7.5</v>
      </c>
      <c r="J24" s="25" t="n">
        <f aca="false">Drivers!J7/1000*Assumptions!$C$73*Assumptions!$C$72*Drivers!J22</f>
        <v>11.5</v>
      </c>
      <c r="K24" s="25" t="n">
        <f aca="false">Drivers!K7/1000*Assumptions!$C$73*Assumptions!$C$72*Drivers!K22</f>
        <v>17</v>
      </c>
      <c r="L24" s="25" t="n">
        <f aca="false">Drivers!L7/1000*Assumptions!$C$73*Assumptions!$C$72*Drivers!L22</f>
        <v>25</v>
      </c>
      <c r="M24" s="25" t="n">
        <f aca="false">Drivers!M7/1000*Assumptions!$C$73*Assumptions!$C$72*Drivers!M22</f>
        <v>36</v>
      </c>
      <c r="N24" s="25" t="n">
        <f aca="false">Drivers!N7/1000*Assumptions!$C$73*Assumptions!$C$72*Drivers!N22</f>
        <v>50</v>
      </c>
      <c r="O24" s="25" t="n">
        <f aca="false">Drivers!O7/1000*Assumptions!$C$73*Assumptions!$C$72*Drivers!O22</f>
        <v>61.2</v>
      </c>
      <c r="P24" s="25" t="n">
        <f aca="false">Drivers!P7/1000*Assumptions!$C$73*Assumptions!$C$72*Drivers!P22</f>
        <v>73.95</v>
      </c>
      <c r="Q24" s="25" t="n">
        <f aca="false">Drivers!Q7/1000*Assumptions!$C$73*Assumptions!$C$72*Drivers!Q22</f>
        <v>87.72</v>
      </c>
      <c r="R24" s="25" t="n">
        <f aca="false">Drivers!R7/1000*Assumptions!$C$73*Assumptions!$C$72*Drivers!R22</f>
        <v>104.55</v>
      </c>
      <c r="S24" s="25" t="n">
        <f aca="false">Drivers!S7/1000*Assumptions!$C$73*Assumptions!$C$72*Drivers!S22</f>
        <v>127.5</v>
      </c>
      <c r="T24" s="25" t="n">
        <f aca="false">Drivers!T7/1000*Assumptions!$C$73*Assumptions!$C$72*Drivers!T22</f>
        <v>153</v>
      </c>
      <c r="U24" s="25" t="n">
        <f aca="false">Drivers!U7/1000*Assumptions!$C$73*Assumptions!$C$72*Drivers!U22</f>
        <v>160.65</v>
      </c>
      <c r="V24" s="25" t="n">
        <f aca="false">Drivers!V7/1000*Assumptions!$C$73*Assumptions!$C$72*Drivers!V22</f>
        <v>168.3</v>
      </c>
      <c r="W24" s="25" t="n">
        <f aca="false">Drivers!W7/1000*Assumptions!$C$73*Assumptions!$C$72*Drivers!W22</f>
        <v>175.95</v>
      </c>
      <c r="X24" s="25" t="n">
        <f aca="false">Drivers!X7/1000*Assumptions!$C$73*Assumptions!$C$72*Drivers!X22</f>
        <v>183.6</v>
      </c>
      <c r="Y24" s="25" t="n">
        <f aca="false">Drivers!Y7/1000*Assumptions!$C$73*Assumptions!$C$72*Drivers!Y22</f>
        <v>191.25</v>
      </c>
      <c r="Z24" s="25" t="n">
        <f aca="false">Drivers!Z7/1000*Assumptions!$C$73*Assumptions!$C$72*Drivers!Z22</f>
        <v>198.9</v>
      </c>
      <c r="AA24" s="25" t="n">
        <f aca="false">Drivers!AA7/1000*Assumptions!$C$73*Assumptions!$C$72*Drivers!AA22</f>
        <v>214.635</v>
      </c>
      <c r="AB24" s="25" t="n">
        <f aca="false">Drivers!AB7/1000*Assumptions!$C$73*Assumptions!$C$72*Drivers!AB22</f>
        <v>225.105</v>
      </c>
      <c r="AC24" s="25" t="n">
        <f aca="false">Drivers!AC7/1000*Assumptions!$C$73*Assumptions!$C$72*Drivers!AC22</f>
        <v>235.575</v>
      </c>
      <c r="AD24" s="25" t="n">
        <f aca="false">Drivers!AD7/1000*Assumptions!$C$73*Assumptions!$C$72*Drivers!AD22</f>
        <v>243.4275</v>
      </c>
      <c r="AE24" s="25" t="n">
        <f aca="false">Drivers!AE7/1000*Assumptions!$C$73*Assumptions!$C$72*Drivers!AE22</f>
        <v>252.327</v>
      </c>
      <c r="AF24" s="25" t="n">
        <f aca="false">Drivers!AF7/1000*Assumptions!$C$73*Assumptions!$C$72*Drivers!AF22</f>
        <v>261.75</v>
      </c>
    </row>
    <row r="25" customFormat="false" ht="15" hidden="false" customHeight="true" outlineLevel="0" collapsed="false">
      <c r="B25" s="12" t="s">
        <v>369</v>
      </c>
      <c r="C25" s="25" t="n">
        <f aca="false">Assumptions!$C$81*Drivers!C23</f>
        <v>1300</v>
      </c>
      <c r="D25" s="25" t="n">
        <f aca="false">Assumptions!$C$81*Drivers!D23</f>
        <v>1300</v>
      </c>
      <c r="E25" s="25" t="n">
        <f aca="false">Assumptions!$C$81*Drivers!E23</f>
        <v>1300</v>
      </c>
      <c r="F25" s="25" t="n">
        <f aca="false">Assumptions!$C$81*Drivers!F23</f>
        <v>1300</v>
      </c>
      <c r="G25" s="25" t="n">
        <f aca="false">Assumptions!$C$81*Drivers!G23</f>
        <v>1300</v>
      </c>
      <c r="H25" s="25" t="n">
        <f aca="false">Assumptions!$C$81*Drivers!H23</f>
        <v>1300</v>
      </c>
      <c r="I25" s="25" t="n">
        <f aca="false">Assumptions!$C$81*Drivers!I23</f>
        <v>1300</v>
      </c>
      <c r="J25" s="25" t="n">
        <f aca="false">Assumptions!$C$81*Drivers!J23</f>
        <v>1300</v>
      </c>
      <c r="K25" s="25" t="n">
        <f aca="false">Assumptions!$C$81*Drivers!K23</f>
        <v>1300</v>
      </c>
      <c r="L25" s="25" t="n">
        <f aca="false">Assumptions!$C$81*Drivers!L23</f>
        <v>1300</v>
      </c>
      <c r="M25" s="25" t="n">
        <f aca="false">Assumptions!$C$81*Drivers!M23</f>
        <v>1300</v>
      </c>
      <c r="N25" s="25" t="n">
        <f aca="false">Assumptions!$C$81*Drivers!N23</f>
        <v>1300</v>
      </c>
      <c r="O25" s="25" t="n">
        <f aca="false">Assumptions!$C$81*Drivers!O23</f>
        <v>1300</v>
      </c>
      <c r="P25" s="25" t="n">
        <f aca="false">Assumptions!$C$81*Drivers!P23</f>
        <v>1300</v>
      </c>
      <c r="Q25" s="25" t="n">
        <f aca="false">Assumptions!$C$81*Drivers!Q23</f>
        <v>1300</v>
      </c>
      <c r="R25" s="25" t="n">
        <f aca="false">Assumptions!$C$81*Drivers!R23</f>
        <v>1300</v>
      </c>
      <c r="S25" s="25" t="n">
        <f aca="false">Assumptions!$C$81*Drivers!S23</f>
        <v>1300</v>
      </c>
      <c r="T25" s="25" t="n">
        <f aca="false">Assumptions!$C$81*Drivers!T23</f>
        <v>1300</v>
      </c>
      <c r="U25" s="25" t="n">
        <f aca="false">Assumptions!$C$81*Drivers!U23</f>
        <v>1300</v>
      </c>
      <c r="V25" s="25" t="n">
        <f aca="false">Assumptions!$C$81*Drivers!V23</f>
        <v>1300</v>
      </c>
      <c r="W25" s="25" t="n">
        <f aca="false">Assumptions!$C$81*Drivers!W23</f>
        <v>1300</v>
      </c>
      <c r="X25" s="25" t="n">
        <f aca="false">Assumptions!$C$81*Drivers!X23</f>
        <v>1300</v>
      </c>
      <c r="Y25" s="25" t="n">
        <f aca="false">Assumptions!$C$81*Drivers!Y23</f>
        <v>1300</v>
      </c>
      <c r="Z25" s="25" t="n">
        <f aca="false">Assumptions!$C$81*Drivers!Z23</f>
        <v>1300</v>
      </c>
      <c r="AA25" s="25" t="n">
        <f aca="false">Assumptions!$C$81*Drivers!AA23</f>
        <v>1300</v>
      </c>
      <c r="AB25" s="25" t="n">
        <f aca="false">Assumptions!$C$81*Drivers!AB23</f>
        <v>1300</v>
      </c>
      <c r="AC25" s="25" t="n">
        <f aca="false">Assumptions!$C$81*Drivers!AC23</f>
        <v>1300</v>
      </c>
      <c r="AD25" s="25" t="n">
        <f aca="false">Assumptions!$C$81*Drivers!AD23</f>
        <v>1300</v>
      </c>
      <c r="AE25" s="25" t="n">
        <f aca="false">Assumptions!$C$81*Drivers!AE23</f>
        <v>1300</v>
      </c>
      <c r="AF25" s="25" t="n">
        <f aca="false">Assumptions!$C$81*Drivers!AF23</f>
        <v>1300</v>
      </c>
    </row>
    <row r="26" customFormat="false" ht="15" hidden="false" customHeight="true" outlineLevel="0" collapsed="false">
      <c r="B26" s="12" t="s">
        <v>370</v>
      </c>
      <c r="C26" s="25" t="n">
        <f aca="false">Assumptions!$C$82*Drivers!C23</f>
        <v>1300</v>
      </c>
      <c r="D26" s="25" t="n">
        <f aca="false">Assumptions!$C$82*Drivers!D23</f>
        <v>1300</v>
      </c>
      <c r="E26" s="25" t="n">
        <f aca="false">Assumptions!$C$82*Drivers!E23</f>
        <v>1300</v>
      </c>
      <c r="F26" s="25" t="n">
        <f aca="false">Assumptions!$C$82*Drivers!F23</f>
        <v>1300</v>
      </c>
      <c r="G26" s="25" t="n">
        <f aca="false">Assumptions!$C$82*Drivers!G23</f>
        <v>1300</v>
      </c>
      <c r="H26" s="25" t="n">
        <f aca="false">Assumptions!$C$82*Drivers!H23</f>
        <v>1300</v>
      </c>
      <c r="I26" s="25" t="n">
        <f aca="false">Assumptions!$C$82*Drivers!I23</f>
        <v>1300</v>
      </c>
      <c r="J26" s="25" t="n">
        <f aca="false">Assumptions!$C$82*Drivers!J23</f>
        <v>1300</v>
      </c>
      <c r="K26" s="25" t="n">
        <f aca="false">Assumptions!$C$82*Drivers!K23</f>
        <v>1300</v>
      </c>
      <c r="L26" s="25" t="n">
        <f aca="false">Assumptions!$C$82*Drivers!L23</f>
        <v>1300</v>
      </c>
      <c r="M26" s="25" t="n">
        <f aca="false">Assumptions!$C$82*Drivers!M23</f>
        <v>1300</v>
      </c>
      <c r="N26" s="25" t="n">
        <f aca="false">Assumptions!$C$82*Drivers!N23</f>
        <v>1300</v>
      </c>
      <c r="O26" s="25" t="n">
        <f aca="false">Assumptions!$C$82*Drivers!O23</f>
        <v>1300</v>
      </c>
      <c r="P26" s="25" t="n">
        <f aca="false">Assumptions!$C$82*Drivers!P23</f>
        <v>1300</v>
      </c>
      <c r="Q26" s="25" t="n">
        <f aca="false">Assumptions!$C$82*Drivers!Q23</f>
        <v>1300</v>
      </c>
      <c r="R26" s="25" t="n">
        <f aca="false">Assumptions!$C$82*Drivers!R23</f>
        <v>1300</v>
      </c>
      <c r="S26" s="25" t="n">
        <f aca="false">Assumptions!$C$82*Drivers!S23</f>
        <v>1300</v>
      </c>
      <c r="T26" s="25" t="n">
        <f aca="false">Assumptions!$C$82*Drivers!T23</f>
        <v>1300</v>
      </c>
      <c r="U26" s="25" t="n">
        <f aca="false">Assumptions!$C$82*Drivers!U23</f>
        <v>1300</v>
      </c>
      <c r="V26" s="25" t="n">
        <f aca="false">Assumptions!$C$82*Drivers!V23</f>
        <v>1300</v>
      </c>
      <c r="W26" s="25" t="n">
        <f aca="false">Assumptions!$C$82*Drivers!W23</f>
        <v>1300</v>
      </c>
      <c r="X26" s="25" t="n">
        <f aca="false">Assumptions!$C$82*Drivers!X23</f>
        <v>1300</v>
      </c>
      <c r="Y26" s="25" t="n">
        <f aca="false">Assumptions!$C$82*Drivers!Y23</f>
        <v>1300</v>
      </c>
      <c r="Z26" s="25" t="n">
        <f aca="false">Assumptions!$C$82*Drivers!Z23</f>
        <v>1300</v>
      </c>
      <c r="AA26" s="25" t="n">
        <f aca="false">Assumptions!$C$82*Drivers!AA23</f>
        <v>1300</v>
      </c>
      <c r="AB26" s="25" t="n">
        <f aca="false">Assumptions!$C$82*Drivers!AB23</f>
        <v>1300</v>
      </c>
      <c r="AC26" s="25" t="n">
        <f aca="false">Assumptions!$C$82*Drivers!AC23</f>
        <v>1300</v>
      </c>
      <c r="AD26" s="25" t="n">
        <f aca="false">Assumptions!$C$82*Drivers!AD23</f>
        <v>1300</v>
      </c>
      <c r="AE26" s="25" t="n">
        <f aca="false">Assumptions!$C$82*Drivers!AE23</f>
        <v>1300</v>
      </c>
      <c r="AF26" s="25" t="n">
        <f aca="false">Assumptions!$C$82*Drivers!AF23</f>
        <v>1300</v>
      </c>
    </row>
    <row r="27" customFormat="false" ht="15" hidden="false" customHeight="true" outlineLevel="0" collapsed="false">
      <c r="B27" s="12" t="s">
        <v>371</v>
      </c>
      <c r="C27" s="25" t="n">
        <f aca="false">Drivers!C11*Assumptions!$C$75/1000000*Assumptions!$C$77*Drivers!C22</f>
        <v>0.2128</v>
      </c>
      <c r="D27" s="25" t="n">
        <f aca="false">Drivers!D11*Assumptions!$C$75/1000000*Assumptions!$C$77*Drivers!D22</f>
        <v>0.4788</v>
      </c>
      <c r="E27" s="25" t="n">
        <f aca="false">Drivers!E11*Assumptions!$C$75/1000000*Assumptions!$C$77*Drivers!E22</f>
        <v>0.8512</v>
      </c>
      <c r="F27" s="25" t="n">
        <f aca="false">Drivers!F11*Assumptions!$C$75/1000000*Assumptions!$C$77*Drivers!F22</f>
        <v>1.3832</v>
      </c>
      <c r="G27" s="25" t="n">
        <f aca="false">Drivers!G11*Assumptions!$C$75/1000000*Assumptions!$C$77*Drivers!G22</f>
        <v>1.995</v>
      </c>
      <c r="H27" s="25" t="n">
        <f aca="false">Drivers!H11*Assumptions!$C$75/1000000*Assumptions!$C$77*Drivers!H22</f>
        <v>2.66</v>
      </c>
      <c r="I27" s="25" t="n">
        <f aca="false">Drivers!I11*Assumptions!$C$75/1000000*Assumptions!$C$77*Drivers!I22</f>
        <v>3.99</v>
      </c>
      <c r="J27" s="25" t="n">
        <f aca="false">Drivers!J11*Assumptions!$C$75/1000000*Assumptions!$C$77*Drivers!J22</f>
        <v>6.118</v>
      </c>
      <c r="K27" s="25" t="n">
        <f aca="false">Drivers!K11*Assumptions!$C$75/1000000*Assumptions!$C$77*Drivers!K22</f>
        <v>9.044</v>
      </c>
      <c r="L27" s="25" t="n">
        <f aca="false">Drivers!L11*Assumptions!$C$75/1000000*Assumptions!$C$77*Drivers!L22</f>
        <v>13.3</v>
      </c>
      <c r="M27" s="25" t="n">
        <f aca="false">Drivers!M11*Assumptions!$C$75/1000000*Assumptions!$C$77*Drivers!M22</f>
        <v>19.152</v>
      </c>
      <c r="N27" s="25" t="n">
        <f aca="false">Drivers!N11*Assumptions!$C$75/1000000*Assumptions!$C$77*Drivers!N22</f>
        <v>26.6</v>
      </c>
      <c r="O27" s="25" t="n">
        <f aca="false">Drivers!O11*Assumptions!$C$75/1000000*Assumptions!$C$77*Drivers!O22</f>
        <v>32.5584</v>
      </c>
      <c r="P27" s="25" t="n">
        <f aca="false">Drivers!P11*Assumptions!$C$75/1000000*Assumptions!$C$77*Drivers!P22</f>
        <v>39.3414</v>
      </c>
      <c r="Q27" s="25" t="n">
        <f aca="false">Drivers!Q11*Assumptions!$C$75/1000000*Assumptions!$C$77*Drivers!Q22</f>
        <v>46.66704</v>
      </c>
      <c r="R27" s="25" t="n">
        <f aca="false">Drivers!R11*Assumptions!$C$75/1000000*Assumptions!$C$77*Drivers!R22</f>
        <v>55.6206</v>
      </c>
      <c r="S27" s="25" t="n">
        <f aca="false">Drivers!S11*Assumptions!$C$75/1000000*Assumptions!$C$77*Drivers!S22</f>
        <v>67.83</v>
      </c>
      <c r="T27" s="25" t="n">
        <f aca="false">Drivers!T11*Assumptions!$C$75/1000000*Assumptions!$C$77*Drivers!T22</f>
        <v>81.396</v>
      </c>
      <c r="U27" s="25" t="n">
        <f aca="false">Drivers!U11*Assumptions!$C$75/1000000*Assumptions!$C$77*Drivers!U22</f>
        <v>85.4658</v>
      </c>
      <c r="V27" s="25" t="n">
        <f aca="false">Drivers!V11*Assumptions!$C$75/1000000*Assumptions!$C$77*Drivers!V22</f>
        <v>89.5356</v>
      </c>
      <c r="W27" s="25" t="n">
        <f aca="false">Drivers!W11*Assumptions!$C$75/1000000*Assumptions!$C$77*Drivers!W22</f>
        <v>93.6054</v>
      </c>
      <c r="X27" s="25" t="n">
        <f aca="false">Drivers!X11*Assumptions!$C$75/1000000*Assumptions!$C$77*Drivers!X22</f>
        <v>97.6752</v>
      </c>
      <c r="Y27" s="25" t="n">
        <f aca="false">Drivers!Y11*Assumptions!$C$75/1000000*Assumptions!$C$77*Drivers!Y22</f>
        <v>101.745</v>
      </c>
      <c r="Z27" s="25" t="n">
        <f aca="false">Drivers!Z11*Assumptions!$C$75/1000000*Assumptions!$C$77*Drivers!Z22</f>
        <v>105.8148</v>
      </c>
      <c r="AA27" s="25" t="n">
        <f aca="false">Drivers!AA11*Assumptions!$C$75/1000000*Assumptions!$C$77*Drivers!AA22</f>
        <v>114.18582</v>
      </c>
      <c r="AB27" s="25" t="n">
        <f aca="false">Drivers!AB11*Assumptions!$C$75/1000000*Assumptions!$C$77*Drivers!AB22</f>
        <v>119.75586</v>
      </c>
      <c r="AC27" s="25" t="n">
        <f aca="false">Drivers!AC11*Assumptions!$C$75/1000000*Assumptions!$C$77*Drivers!AC22</f>
        <v>125.3259</v>
      </c>
      <c r="AD27" s="25" t="n">
        <f aca="false">Drivers!AD11*Assumptions!$C$75/1000000*Assumptions!$C$77*Drivers!AD22</f>
        <v>129.50343</v>
      </c>
      <c r="AE27" s="25" t="n">
        <f aca="false">Drivers!AE11*Assumptions!$C$75/1000000*Assumptions!$C$77*Drivers!AE22</f>
        <v>134.237964</v>
      </c>
      <c r="AF27" s="25" t="n">
        <f aca="false">Drivers!AF11*Assumptions!$C$75/1000000*Assumptions!$C$77*Drivers!AF22</f>
        <v>139.251</v>
      </c>
    </row>
    <row r="28" customFormat="false" ht="15" hidden="false" customHeight="true" outlineLevel="0" collapsed="false">
      <c r="B28" s="12" t="s">
        <v>372</v>
      </c>
      <c r="C28" s="25" t="n">
        <f aca="false">Drivers!C8*Assumptions!$C$76*30.4/1000000*Assumptions!$C$78*Drivers!C22</f>
        <v>0.608</v>
      </c>
      <c r="D28" s="25" t="n">
        <f aca="false">Drivers!D8*Assumptions!$C$76*30.4/1000000*Assumptions!$C$78*Drivers!D22</f>
        <v>1.368</v>
      </c>
      <c r="E28" s="25" t="n">
        <f aca="false">Drivers!E8*Assumptions!$C$76*30.4/1000000*Assumptions!$C$78*Drivers!E22</f>
        <v>2.432</v>
      </c>
      <c r="F28" s="25" t="n">
        <f aca="false">Drivers!F8*Assumptions!$C$76*30.4/1000000*Assumptions!$C$78*Drivers!F22</f>
        <v>3.952</v>
      </c>
      <c r="G28" s="25" t="n">
        <f aca="false">Drivers!G8*Assumptions!$C$76*30.4/1000000*Assumptions!$C$78*Drivers!G22</f>
        <v>5.7</v>
      </c>
      <c r="H28" s="25" t="n">
        <f aca="false">Drivers!H8*Assumptions!$C$76*30.4/1000000*Assumptions!$C$78*Drivers!H22</f>
        <v>7.6</v>
      </c>
      <c r="I28" s="25" t="n">
        <f aca="false">Drivers!I8*Assumptions!$C$76*30.4/1000000*Assumptions!$C$78*Drivers!I22</f>
        <v>11.4</v>
      </c>
      <c r="J28" s="25" t="n">
        <f aca="false">Drivers!J8*Assumptions!$C$76*30.4/1000000*Assumptions!$C$78*Drivers!J22</f>
        <v>17.48</v>
      </c>
      <c r="K28" s="25" t="n">
        <f aca="false">Drivers!K8*Assumptions!$C$76*30.4/1000000*Assumptions!$C$78*Drivers!K22</f>
        <v>25.84</v>
      </c>
      <c r="L28" s="25" t="n">
        <f aca="false">Drivers!L8*Assumptions!$C$76*30.4/1000000*Assumptions!$C$78*Drivers!L22</f>
        <v>38</v>
      </c>
      <c r="M28" s="25" t="n">
        <f aca="false">Drivers!M8*Assumptions!$C$76*30.4/1000000*Assumptions!$C$78*Drivers!M22</f>
        <v>54.72</v>
      </c>
      <c r="N28" s="25" t="n">
        <f aca="false">Drivers!N8*Assumptions!$C$76*30.4/1000000*Assumptions!$C$78*Drivers!N22</f>
        <v>76</v>
      </c>
      <c r="O28" s="25" t="n">
        <f aca="false">Drivers!O8*Assumptions!$C$76*30.4/1000000*Assumptions!$C$78*Drivers!O22</f>
        <v>93.024</v>
      </c>
      <c r="P28" s="25" t="n">
        <f aca="false">Drivers!P8*Assumptions!$C$76*30.4/1000000*Assumptions!$C$78*Drivers!P22</f>
        <v>112.404</v>
      </c>
      <c r="Q28" s="25" t="n">
        <f aca="false">Drivers!Q8*Assumptions!$C$76*30.4/1000000*Assumptions!$C$78*Drivers!Q22</f>
        <v>133.3344</v>
      </c>
      <c r="R28" s="25" t="n">
        <f aca="false">Drivers!R8*Assumptions!$C$76*30.4/1000000*Assumptions!$C$78*Drivers!R22</f>
        <v>158.916</v>
      </c>
      <c r="S28" s="25" t="n">
        <f aca="false">Drivers!S8*Assumptions!$C$76*30.4/1000000*Assumptions!$C$78*Drivers!S22</f>
        <v>193.8</v>
      </c>
      <c r="T28" s="25" t="n">
        <f aca="false">Drivers!T8*Assumptions!$C$76*30.4/1000000*Assumptions!$C$78*Drivers!T22</f>
        <v>232.56</v>
      </c>
      <c r="U28" s="25" t="n">
        <f aca="false">Drivers!U8*Assumptions!$C$76*30.4/1000000*Assumptions!$C$78*Drivers!U22</f>
        <v>244.188</v>
      </c>
      <c r="V28" s="25" t="n">
        <f aca="false">Drivers!V8*Assumptions!$C$76*30.4/1000000*Assumptions!$C$78*Drivers!V22</f>
        <v>255.816</v>
      </c>
      <c r="W28" s="25" t="n">
        <f aca="false">Drivers!W8*Assumptions!$C$76*30.4/1000000*Assumptions!$C$78*Drivers!W22</f>
        <v>267.444</v>
      </c>
      <c r="X28" s="25" t="n">
        <f aca="false">Drivers!X8*Assumptions!$C$76*30.4/1000000*Assumptions!$C$78*Drivers!X22</f>
        <v>279.072</v>
      </c>
      <c r="Y28" s="25" t="n">
        <f aca="false">Drivers!Y8*Assumptions!$C$76*30.4/1000000*Assumptions!$C$78*Drivers!Y22</f>
        <v>290.7</v>
      </c>
      <c r="Z28" s="25" t="n">
        <f aca="false">Drivers!Z8*Assumptions!$C$76*30.4/1000000*Assumptions!$C$78*Drivers!Z22</f>
        <v>302.328</v>
      </c>
      <c r="AA28" s="25" t="n">
        <f aca="false">Drivers!AA8*Assumptions!$C$76*30.4/1000000*Assumptions!$C$78*Drivers!AA22</f>
        <v>326.2452</v>
      </c>
      <c r="AB28" s="25" t="n">
        <f aca="false">Drivers!AB8*Assumptions!$C$76*30.4/1000000*Assumptions!$C$78*Drivers!AB22</f>
        <v>342.1596</v>
      </c>
      <c r="AC28" s="25" t="n">
        <f aca="false">Drivers!AC8*Assumptions!$C$76*30.4/1000000*Assumptions!$C$78*Drivers!AC22</f>
        <v>358.074</v>
      </c>
      <c r="AD28" s="25" t="n">
        <f aca="false">Drivers!AD8*Assumptions!$C$76*30.4/1000000*Assumptions!$C$78*Drivers!AD22</f>
        <v>370.0098</v>
      </c>
      <c r="AE28" s="25" t="n">
        <f aca="false">Drivers!AE8*Assumptions!$C$76*30.4/1000000*Assumptions!$C$78*Drivers!AE22</f>
        <v>383.53704</v>
      </c>
      <c r="AF28" s="25" t="n">
        <f aca="false">Drivers!AF8*Assumptions!$C$76*30.4/1000000*Assumptions!$C$78*Drivers!AF22</f>
        <v>397.86</v>
      </c>
    </row>
    <row r="29" customFormat="false" ht="15" hidden="false" customHeight="true" outlineLevel="0" collapsed="false">
      <c r="B29" s="12" t="s">
        <v>373</v>
      </c>
      <c r="C29" s="25" t="n">
        <f aca="false">Drivers!C7/1000*Assumptions!$C$80*Assumptions!$C$79*Drivers!C22</f>
        <v>0.6</v>
      </c>
      <c r="D29" s="25" t="n">
        <f aca="false">Drivers!D7/1000*Assumptions!$C$80*Assumptions!$C$79*Drivers!D22</f>
        <v>1.35</v>
      </c>
      <c r="E29" s="25" t="n">
        <f aca="false">Drivers!E7/1000*Assumptions!$C$80*Assumptions!$C$79*Drivers!E22</f>
        <v>2.4</v>
      </c>
      <c r="F29" s="25" t="n">
        <f aca="false">Drivers!F7/1000*Assumptions!$C$80*Assumptions!$C$79*Drivers!F22</f>
        <v>3.9</v>
      </c>
      <c r="G29" s="25" t="n">
        <f aca="false">Drivers!G7/1000*Assumptions!$C$80*Assumptions!$C$79*Drivers!G22</f>
        <v>5.625</v>
      </c>
      <c r="H29" s="25" t="n">
        <f aca="false">Drivers!H7/1000*Assumptions!$C$80*Assumptions!$C$79*Drivers!H22</f>
        <v>7.5</v>
      </c>
      <c r="I29" s="25" t="n">
        <f aca="false">Drivers!I7/1000*Assumptions!$C$80*Assumptions!$C$79*Drivers!I22</f>
        <v>11.25</v>
      </c>
      <c r="J29" s="25" t="n">
        <f aca="false">Drivers!J7/1000*Assumptions!$C$80*Assumptions!$C$79*Drivers!J22</f>
        <v>17.25</v>
      </c>
      <c r="K29" s="25" t="n">
        <f aca="false">Drivers!K7/1000*Assumptions!$C$80*Assumptions!$C$79*Drivers!K22</f>
        <v>25.5</v>
      </c>
      <c r="L29" s="25" t="n">
        <f aca="false">Drivers!L7/1000*Assumptions!$C$80*Assumptions!$C$79*Drivers!L22</f>
        <v>37.5</v>
      </c>
      <c r="M29" s="25" t="n">
        <f aca="false">Drivers!M7/1000*Assumptions!$C$80*Assumptions!$C$79*Drivers!M22</f>
        <v>54</v>
      </c>
      <c r="N29" s="25" t="n">
        <f aca="false">Drivers!N7/1000*Assumptions!$C$80*Assumptions!$C$79*Drivers!N22</f>
        <v>75</v>
      </c>
      <c r="O29" s="25" t="n">
        <f aca="false">Drivers!O7/1000*Assumptions!$C$80*Assumptions!$C$79*Drivers!O22</f>
        <v>91.8</v>
      </c>
      <c r="P29" s="25" t="n">
        <f aca="false">Drivers!P7/1000*Assumptions!$C$80*Assumptions!$C$79*Drivers!P22</f>
        <v>110.925</v>
      </c>
      <c r="Q29" s="25" t="n">
        <f aca="false">Drivers!Q7/1000*Assumptions!$C$80*Assumptions!$C$79*Drivers!Q22</f>
        <v>131.58</v>
      </c>
      <c r="R29" s="25" t="n">
        <f aca="false">Drivers!R7/1000*Assumptions!$C$80*Assumptions!$C$79*Drivers!R22</f>
        <v>156.825</v>
      </c>
      <c r="S29" s="25" t="n">
        <f aca="false">Drivers!S7/1000*Assumptions!$C$80*Assumptions!$C$79*Drivers!S22</f>
        <v>191.25</v>
      </c>
      <c r="T29" s="25" t="n">
        <f aca="false">Drivers!T7/1000*Assumptions!$C$80*Assumptions!$C$79*Drivers!T22</f>
        <v>229.5</v>
      </c>
      <c r="U29" s="25" t="n">
        <f aca="false">Drivers!U7/1000*Assumptions!$C$80*Assumptions!$C$79*Drivers!U22</f>
        <v>240.975</v>
      </c>
      <c r="V29" s="25" t="n">
        <f aca="false">Drivers!V7/1000*Assumptions!$C$80*Assumptions!$C$79*Drivers!V22</f>
        <v>252.45</v>
      </c>
      <c r="W29" s="25" t="n">
        <f aca="false">Drivers!W7/1000*Assumptions!$C$80*Assumptions!$C$79*Drivers!W22</f>
        <v>263.925</v>
      </c>
      <c r="X29" s="25" t="n">
        <f aca="false">Drivers!X7/1000*Assumptions!$C$80*Assumptions!$C$79*Drivers!X22</f>
        <v>275.4</v>
      </c>
      <c r="Y29" s="25" t="n">
        <f aca="false">Drivers!Y7/1000*Assumptions!$C$80*Assumptions!$C$79*Drivers!Y22</f>
        <v>286.875</v>
      </c>
      <c r="Z29" s="25" t="n">
        <f aca="false">Drivers!Z7/1000*Assumptions!$C$80*Assumptions!$C$79*Drivers!Z22</f>
        <v>298.35</v>
      </c>
      <c r="AA29" s="25" t="n">
        <f aca="false">Drivers!AA7/1000*Assumptions!$C$80*Assumptions!$C$79*Drivers!AA22</f>
        <v>321.9525</v>
      </c>
      <c r="AB29" s="25" t="n">
        <f aca="false">Drivers!AB7/1000*Assumptions!$C$80*Assumptions!$C$79*Drivers!AB22</f>
        <v>337.6575</v>
      </c>
      <c r="AC29" s="25" t="n">
        <f aca="false">Drivers!AC7/1000*Assumptions!$C$80*Assumptions!$C$79*Drivers!AC22</f>
        <v>353.3625</v>
      </c>
      <c r="AD29" s="25" t="n">
        <f aca="false">Drivers!AD7/1000*Assumptions!$C$80*Assumptions!$C$79*Drivers!AD22</f>
        <v>365.14125</v>
      </c>
      <c r="AE29" s="25" t="n">
        <f aca="false">Drivers!AE7/1000*Assumptions!$C$80*Assumptions!$C$79*Drivers!AE22</f>
        <v>378.4905</v>
      </c>
      <c r="AF29" s="25" t="n">
        <f aca="false">Drivers!AF7/1000*Assumptions!$C$80*Assumptions!$C$79*Drivers!AF22</f>
        <v>392.625</v>
      </c>
    </row>
    <row r="30" customFormat="false" ht="15" hidden="false" customHeight="true" outlineLevel="0" collapsed="false">
      <c r="B30" s="42" t="s">
        <v>374</v>
      </c>
      <c r="C30" s="43" t="n">
        <f aca="false">C23+C24+C25+C26+C27+C28+C29</f>
        <v>3653.0208</v>
      </c>
      <c r="D30" s="43" t="n">
        <f aca="false">D23+D24+D25+D26+D27+D28+D29</f>
        <v>3655.2968</v>
      </c>
      <c r="E30" s="43" t="n">
        <f aca="false">E23+E24+E25+E26+E27+E28+E29</f>
        <v>3658.4832</v>
      </c>
      <c r="F30" s="43" t="n">
        <f aca="false">F23+F24+F25+F26+F27+F28+F29</f>
        <v>3663.0352</v>
      </c>
      <c r="G30" s="43" t="n">
        <f aca="false">G23+G24+G25+G26+G27+G28+G29</f>
        <v>3668.27</v>
      </c>
      <c r="H30" s="43" t="n">
        <f aca="false">H23+H24+H25+H26+H27+H28+H29</f>
        <v>3673.96</v>
      </c>
      <c r="I30" s="43" t="n">
        <f aca="false">I23+I24+I25+I26+I27+I28+I29</f>
        <v>3685.34</v>
      </c>
      <c r="J30" s="43" t="n">
        <f aca="false">J23+J24+J25+J26+J27+J28+J29</f>
        <v>3703.548</v>
      </c>
      <c r="K30" s="43" t="n">
        <f aca="false">K23+K24+K25+K26+K27+K28+K29</f>
        <v>3728.584</v>
      </c>
      <c r="L30" s="43" t="n">
        <f aca="false">L23+L24+L25+L26+L27+L28+L29</f>
        <v>3765</v>
      </c>
      <c r="M30" s="43" t="n">
        <f aca="false">M23+M24+M25+M26+M27+M28+M29</f>
        <v>3815.072</v>
      </c>
      <c r="N30" s="43" t="n">
        <f aca="false">N23+N24+N25+N26+N27+N28+N29</f>
        <v>3878.8</v>
      </c>
      <c r="O30" s="43" t="n">
        <f aca="false">O23+O24+O25+O26+O27+O28+O29</f>
        <v>4126.0064</v>
      </c>
      <c r="P30" s="43" t="n">
        <f aca="false">P23+P24+P25+P26+P27+P28+P29</f>
        <v>4407.4244</v>
      </c>
      <c r="Q30" s="43" t="n">
        <f aca="false">Q23+Q24+Q25+Q26+Q27+Q28+Q29</f>
        <v>4711.35584</v>
      </c>
      <c r="R30" s="43" t="n">
        <f aca="false">R23+R24+R25+R26+R27+R28+R29</f>
        <v>5082.8276</v>
      </c>
      <c r="S30" s="43" t="n">
        <f aca="false">S23+S24+S25+S26+S27+S28+S29</f>
        <v>5589.38</v>
      </c>
      <c r="T30" s="43" t="n">
        <f aca="false">T23+T24+T25+T26+T27+T28+T29</f>
        <v>6152.216</v>
      </c>
      <c r="U30" s="43" t="n">
        <f aca="false">U23+U24+U25+U26+U27+U28+U29</f>
        <v>6321.0668</v>
      </c>
      <c r="V30" s="43" t="n">
        <f aca="false">V23+V24+V25+V26+V27+V28+V29</f>
        <v>6489.9176</v>
      </c>
      <c r="W30" s="43" t="n">
        <f aca="false">W23+W24+W25+W26+W27+W28+W29</f>
        <v>6658.7684</v>
      </c>
      <c r="X30" s="43" t="n">
        <f aca="false">X23+X24+X25+X26+X27+X28+X29</f>
        <v>6827.6192</v>
      </c>
      <c r="Y30" s="43" t="n">
        <f aca="false">Y23+Y24+Y25+Y26+Y27+Y28+Y29</f>
        <v>6996.47</v>
      </c>
      <c r="Z30" s="43" t="n">
        <f aca="false">Z23+Z24+Z25+Z26+Z27+Z28+Z29</f>
        <v>7165.3208</v>
      </c>
      <c r="AA30" s="43" t="n">
        <f aca="false">AA23+AA24+AA25+AA26+AA27+AA28+AA29</f>
        <v>7512.62372</v>
      </c>
      <c r="AB30" s="43" t="n">
        <f aca="false">AB23+AB24+AB25+AB26+AB27+AB28+AB29</f>
        <v>7743.71756</v>
      </c>
      <c r="AC30" s="43" t="n">
        <f aca="false">AC23+AC24+AC25+AC26+AC27+AC28+AC29</f>
        <v>7974.8114</v>
      </c>
      <c r="AD30" s="43" t="n">
        <f aca="false">AD23+AD24+AD25+AD26+AD27+AD28+AD29</f>
        <v>8148.13178</v>
      </c>
      <c r="AE30" s="43" t="n">
        <f aca="false">AE23+AE24+AE25+AE26+AE27+AE28+AE29</f>
        <v>8344.561544</v>
      </c>
      <c r="AF30" s="43" t="n">
        <f aca="false">AF23+AF24+AF25+AF26+AF27+AF28+AF29</f>
        <v>8552.546</v>
      </c>
    </row>
    <row r="31" customFormat="false" ht="15" hidden="false" customHeight="true" outlineLevel="0" collapsed="false">
      <c r="B31" s="16" t="s">
        <v>375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</row>
    <row r="32" customFormat="false" ht="15" hidden="false" customHeight="true" outlineLevel="0" collapsed="false">
      <c r="B32" s="12" t="s">
        <v>376</v>
      </c>
      <c r="C32" s="25" t="n">
        <f aca="false">Drivers!C16*Assumptions!$C$84*Drivers!C22</f>
        <v>0.220597839355469</v>
      </c>
      <c r="D32" s="25" t="n">
        <f aca="false">Drivers!D16*Assumptions!$C$84*Drivers!D22</f>
        <v>0.716942977905274</v>
      </c>
      <c r="E32" s="25" t="n">
        <f aca="false">Drivers!E16*Assumptions!$C$84*Drivers!E22</f>
        <v>1.59933433532715</v>
      </c>
      <c r="F32" s="25" t="n">
        <f aca="false">Drivers!F16*Assumptions!$C$84*Drivers!F22</f>
        <v>3.0332202911377</v>
      </c>
      <c r="G32" s="25" t="n">
        <f aca="false">Drivers!G16*Assumptions!$C$84*Drivers!G22</f>
        <v>5.10132503509522</v>
      </c>
      <c r="H32" s="25" t="n">
        <f aca="false">Drivers!H16*Assumptions!$C$84*Drivers!H22</f>
        <v>7.85879802703857</v>
      </c>
      <c r="I32" s="25" t="n">
        <f aca="false">Drivers!I16*Assumptions!$C$84*Drivers!I22</f>
        <v>11.9950075149536</v>
      </c>
      <c r="J32" s="25" t="n">
        <f aca="false">Drivers!J16*Assumptions!$C$84*Drivers!J22</f>
        <v>18.3371953964233</v>
      </c>
      <c r="K32" s="25" t="n">
        <f aca="false">Drivers!K16*Assumptions!$C$84*Drivers!K22</f>
        <v>27.7126035690308</v>
      </c>
      <c r="L32" s="25" t="n">
        <f aca="false">Drivers!L16*Assumptions!$C$84*Drivers!L22</f>
        <v>41.4999685287476</v>
      </c>
      <c r="M32" s="25" t="n">
        <f aca="false">Drivers!M16*Assumptions!$C$84*Drivers!M22</f>
        <v>61.3537740707397</v>
      </c>
      <c r="N32" s="25" t="n">
        <f aca="false">Drivers!N16*Assumptions!$C$84*Drivers!N22</f>
        <v>88.9285039901733</v>
      </c>
      <c r="O32" s="25" t="n">
        <f aca="false">Drivers!O16*Assumptions!$C$84*Drivers!O22</f>
        <v>124.458543491364</v>
      </c>
      <c r="P32" s="25" t="n">
        <f aca="false">Drivers!P16*Assumptions!$C$84*Drivers!P22</f>
        <v>165.241569042206</v>
      </c>
      <c r="Q32" s="25" t="n">
        <f aca="false">Drivers!Q16*Assumptions!$C$84*Drivers!Q22</f>
        <v>213.61867521286</v>
      </c>
      <c r="R32" s="25" t="n">
        <f aca="false">Drivers!R16*Assumptions!$C$84*Drivers!R22</f>
        <v>271.277435474396</v>
      </c>
      <c r="S32" s="25" t="n">
        <f aca="false">Drivers!S16*Assumptions!$C$84*Drivers!S22</f>
        <v>341.592996768951</v>
      </c>
      <c r="T32" s="25" t="n">
        <f aca="false">Drivers!T16*Assumptions!$C$84*Drivers!T22</f>
        <v>425.971670322418</v>
      </c>
      <c r="U32" s="25" t="n">
        <f aca="false">Drivers!U16*Assumptions!$C$84*Drivers!U22</f>
        <v>514.569277553558</v>
      </c>
      <c r="V32" s="25" t="n">
        <f aca="false">Drivers!V16*Assumptions!$C$84*Drivers!V22</f>
        <v>607.385818462372</v>
      </c>
      <c r="W32" s="25" t="n">
        <f aca="false">Drivers!W16*Assumptions!$C$84*Drivers!W22</f>
        <v>704.421293048859</v>
      </c>
      <c r="X32" s="25" t="n">
        <f aca="false">Drivers!X16*Assumptions!$C$84*Drivers!X22</f>
        <v>805.675701313019</v>
      </c>
      <c r="Y32" s="25" t="n">
        <f aca="false">Drivers!Y16*Assumptions!$C$84*Drivers!Y22</f>
        <v>911.149043254852</v>
      </c>
      <c r="Z32" s="25" t="n">
        <f aca="false">Drivers!Z16*Assumptions!$C$84*Drivers!Z22</f>
        <v>1020.84131887436</v>
      </c>
      <c r="AA32" s="25" t="n">
        <f aca="false">Drivers!AA16*Assumptions!$C$84*Drivers!AA22</f>
        <v>1166.23363220501</v>
      </c>
      <c r="AB32" s="25" t="n">
        <f aca="false">Drivers!AB16*Assumptions!$C$84*Drivers!AB22</f>
        <v>1290.37782377529</v>
      </c>
      <c r="AC32" s="25" t="n">
        <f aca="false">Drivers!AC16*Assumptions!$C$84*Drivers!AC22</f>
        <v>1420.2961637907</v>
      </c>
      <c r="AD32" s="25" t="n">
        <f aca="false">Drivers!AD16*Assumptions!$C$84*Drivers!AD22</f>
        <v>1554.54511513996</v>
      </c>
      <c r="AE32" s="25" t="n">
        <f aca="false">Drivers!AE16*Assumptions!$C$84*Drivers!AE22</f>
        <v>1693.70209266758</v>
      </c>
      <c r="AF32" s="25" t="n">
        <f aca="false">Drivers!AF16*Assumptions!$C$84*Drivers!AF22</f>
        <v>1838.05580379581</v>
      </c>
    </row>
    <row r="33" customFormat="false" ht="15" hidden="false" customHeight="true" outlineLevel="0" collapsed="false">
      <c r="B33" s="12" t="s">
        <v>377</v>
      </c>
      <c r="C33" s="25" t="n">
        <f aca="false">(Drivers!C11/1000*Assumptions!$C$85+Drivers!C8*Assumptions!$C$23*30.4/1000*Assumptions!$C$86)*Drivers!C22</f>
        <v>0.8208</v>
      </c>
      <c r="D33" s="25" t="n">
        <f aca="false">(Drivers!D11/1000*Assumptions!$C$85+Drivers!D8*Assumptions!$C$23*30.4/1000*Assumptions!$C$86)*Drivers!D22</f>
        <v>1.8468</v>
      </c>
      <c r="E33" s="25" t="n">
        <f aca="false">(Drivers!E11/1000*Assumptions!$C$85+Drivers!E8*Assumptions!$C$23*30.4/1000*Assumptions!$C$86)*Drivers!E22</f>
        <v>3.2832</v>
      </c>
      <c r="F33" s="25" t="n">
        <f aca="false">(Drivers!F11/1000*Assumptions!$C$85+Drivers!F8*Assumptions!$C$23*30.4/1000*Assumptions!$C$86)*Drivers!F22</f>
        <v>5.3352</v>
      </c>
      <c r="G33" s="25" t="n">
        <f aca="false">(Drivers!G11/1000*Assumptions!$C$85+Drivers!G8*Assumptions!$C$23*30.4/1000*Assumptions!$C$86)*Drivers!G22</f>
        <v>7.695</v>
      </c>
      <c r="H33" s="25" t="n">
        <f aca="false">(Drivers!H11/1000*Assumptions!$C$85+Drivers!H8*Assumptions!$C$23*30.4/1000*Assumptions!$C$86)*Drivers!H22</f>
        <v>10.26</v>
      </c>
      <c r="I33" s="25" t="n">
        <f aca="false">(Drivers!I11/1000*Assumptions!$C$85+Drivers!I8*Assumptions!$C$23*30.4/1000*Assumptions!$C$86)*Drivers!I22</f>
        <v>15.39</v>
      </c>
      <c r="J33" s="25" t="n">
        <f aca="false">(Drivers!J11/1000*Assumptions!$C$85+Drivers!J8*Assumptions!$C$23*30.4/1000*Assumptions!$C$86)*Drivers!J22</f>
        <v>23.598</v>
      </c>
      <c r="K33" s="25" t="n">
        <f aca="false">(Drivers!K11/1000*Assumptions!$C$85+Drivers!K8*Assumptions!$C$23*30.4/1000*Assumptions!$C$86)*Drivers!K22</f>
        <v>34.884</v>
      </c>
      <c r="L33" s="25" t="n">
        <f aca="false">(Drivers!L11/1000*Assumptions!$C$85+Drivers!L8*Assumptions!$C$23*30.4/1000*Assumptions!$C$86)*Drivers!L22</f>
        <v>51.3</v>
      </c>
      <c r="M33" s="25" t="n">
        <f aca="false">(Drivers!M11/1000*Assumptions!$C$85+Drivers!M8*Assumptions!$C$23*30.4/1000*Assumptions!$C$86)*Drivers!M22</f>
        <v>73.872</v>
      </c>
      <c r="N33" s="25" t="n">
        <f aca="false">(Drivers!N11/1000*Assumptions!$C$85+Drivers!N8*Assumptions!$C$23*30.4/1000*Assumptions!$C$86)*Drivers!N22</f>
        <v>102.6</v>
      </c>
      <c r="O33" s="25" t="n">
        <f aca="false">(Drivers!O11/1000*Assumptions!$C$85+Drivers!O8*Assumptions!$C$23*30.4/1000*Assumptions!$C$86)*Drivers!O22</f>
        <v>125.5824</v>
      </c>
      <c r="P33" s="25" t="n">
        <f aca="false">(Drivers!P11/1000*Assumptions!$C$85+Drivers!P8*Assumptions!$C$23*30.4/1000*Assumptions!$C$86)*Drivers!P22</f>
        <v>151.7454</v>
      </c>
      <c r="Q33" s="25" t="n">
        <f aca="false">(Drivers!Q11/1000*Assumptions!$C$85+Drivers!Q8*Assumptions!$C$23*30.4/1000*Assumptions!$C$86)*Drivers!Q22</f>
        <v>180.00144</v>
      </c>
      <c r="R33" s="25" t="n">
        <f aca="false">(Drivers!R11/1000*Assumptions!$C$85+Drivers!R8*Assumptions!$C$23*30.4/1000*Assumptions!$C$86)*Drivers!R22</f>
        <v>214.5366</v>
      </c>
      <c r="S33" s="25" t="n">
        <f aca="false">(Drivers!S11/1000*Assumptions!$C$85+Drivers!S8*Assumptions!$C$23*30.4/1000*Assumptions!$C$86)*Drivers!S22</f>
        <v>261.63</v>
      </c>
      <c r="T33" s="25" t="n">
        <f aca="false">(Drivers!T11/1000*Assumptions!$C$85+Drivers!T8*Assumptions!$C$23*30.4/1000*Assumptions!$C$86)*Drivers!T22</f>
        <v>313.956</v>
      </c>
      <c r="U33" s="25" t="n">
        <f aca="false">(Drivers!U11/1000*Assumptions!$C$85+Drivers!U8*Assumptions!$C$23*30.4/1000*Assumptions!$C$86)*Drivers!U22</f>
        <v>329.6538</v>
      </c>
      <c r="V33" s="25" t="n">
        <f aca="false">(Drivers!V11/1000*Assumptions!$C$85+Drivers!V8*Assumptions!$C$23*30.4/1000*Assumptions!$C$86)*Drivers!V22</f>
        <v>345.3516</v>
      </c>
      <c r="W33" s="25" t="n">
        <f aca="false">(Drivers!W11/1000*Assumptions!$C$85+Drivers!W8*Assumptions!$C$23*30.4/1000*Assumptions!$C$86)*Drivers!W22</f>
        <v>361.0494</v>
      </c>
      <c r="X33" s="25" t="n">
        <f aca="false">(Drivers!X11/1000*Assumptions!$C$85+Drivers!X8*Assumptions!$C$23*30.4/1000*Assumptions!$C$86)*Drivers!X22</f>
        <v>376.7472</v>
      </c>
      <c r="Y33" s="25" t="n">
        <f aca="false">(Drivers!Y11/1000*Assumptions!$C$85+Drivers!Y8*Assumptions!$C$23*30.4/1000*Assumptions!$C$86)*Drivers!Y22</f>
        <v>392.445</v>
      </c>
      <c r="Z33" s="25" t="n">
        <f aca="false">(Drivers!Z11/1000*Assumptions!$C$85+Drivers!Z8*Assumptions!$C$23*30.4/1000*Assumptions!$C$86)*Drivers!Z22</f>
        <v>408.1428</v>
      </c>
      <c r="AA33" s="25" t="n">
        <f aca="false">(Drivers!AA11/1000*Assumptions!$C$85+Drivers!AA8*Assumptions!$C$23*30.4/1000*Assumptions!$C$86)*Drivers!AA22</f>
        <v>440.43102</v>
      </c>
      <c r="AB33" s="25" t="n">
        <f aca="false">(Drivers!AB11/1000*Assumptions!$C$85+Drivers!AB8*Assumptions!$C$23*30.4/1000*Assumptions!$C$86)*Drivers!AB22</f>
        <v>461.91546</v>
      </c>
      <c r="AC33" s="25" t="n">
        <f aca="false">(Drivers!AC11/1000*Assumptions!$C$85+Drivers!AC8*Assumptions!$C$23*30.4/1000*Assumptions!$C$86)*Drivers!AC22</f>
        <v>483.3999</v>
      </c>
      <c r="AD33" s="25" t="n">
        <f aca="false">(Drivers!AD11/1000*Assumptions!$C$85+Drivers!AD8*Assumptions!$C$23*30.4/1000*Assumptions!$C$86)*Drivers!AD22</f>
        <v>499.51323</v>
      </c>
      <c r="AE33" s="25" t="n">
        <f aca="false">(Drivers!AE11/1000*Assumptions!$C$85+Drivers!AE8*Assumptions!$C$23*30.4/1000*Assumptions!$C$86)*Drivers!AE22</f>
        <v>517.775004</v>
      </c>
      <c r="AF33" s="25" t="n">
        <f aca="false">(Drivers!AF11/1000*Assumptions!$C$85+Drivers!AF8*Assumptions!$C$23*30.4/1000*Assumptions!$C$86)*Drivers!AF22</f>
        <v>537.111</v>
      </c>
    </row>
    <row r="34" customFormat="false" ht="15" hidden="false" customHeight="true" outlineLevel="0" collapsed="false">
      <c r="B34" s="42" t="s">
        <v>378</v>
      </c>
      <c r="C34" s="43" t="n">
        <f aca="false">C32+C33</f>
        <v>1.04139783935547</v>
      </c>
      <c r="D34" s="43" t="n">
        <f aca="false">D32+D33</f>
        <v>2.56374297790527</v>
      </c>
      <c r="E34" s="43" t="n">
        <f aca="false">E32+E33</f>
        <v>4.88253433532715</v>
      </c>
      <c r="F34" s="43" t="n">
        <f aca="false">F32+F33</f>
        <v>8.3684202911377</v>
      </c>
      <c r="G34" s="43" t="n">
        <f aca="false">G32+G33</f>
        <v>12.7963250350952</v>
      </c>
      <c r="H34" s="43" t="n">
        <f aca="false">H32+H33</f>
        <v>18.1187980270386</v>
      </c>
      <c r="I34" s="43" t="n">
        <f aca="false">I32+I33</f>
        <v>27.3850075149536</v>
      </c>
      <c r="J34" s="43" t="n">
        <f aca="false">J32+J33</f>
        <v>41.9351953964233</v>
      </c>
      <c r="K34" s="43" t="n">
        <f aca="false">K32+K33</f>
        <v>62.5966035690308</v>
      </c>
      <c r="L34" s="43" t="n">
        <f aca="false">L32+L33</f>
        <v>92.7999685287476</v>
      </c>
      <c r="M34" s="43" t="n">
        <f aca="false">M32+M33</f>
        <v>135.22577407074</v>
      </c>
      <c r="N34" s="43" t="n">
        <f aca="false">N32+N33</f>
        <v>191.528503990173</v>
      </c>
      <c r="O34" s="43" t="n">
        <f aca="false">O32+O33</f>
        <v>250.040943491364</v>
      </c>
      <c r="P34" s="43" t="n">
        <f aca="false">P32+P33</f>
        <v>316.986969042206</v>
      </c>
      <c r="Q34" s="43" t="n">
        <f aca="false">Q32+Q33</f>
        <v>393.62011521286</v>
      </c>
      <c r="R34" s="43" t="n">
        <f aca="false">R32+R33</f>
        <v>485.814035474396</v>
      </c>
      <c r="S34" s="43" t="n">
        <f aca="false">S32+S33</f>
        <v>603.222996768951</v>
      </c>
      <c r="T34" s="43" t="n">
        <f aca="false">T32+T33</f>
        <v>739.927670322418</v>
      </c>
      <c r="U34" s="43" t="n">
        <f aca="false">U32+U33</f>
        <v>844.223077553558</v>
      </c>
      <c r="V34" s="43" t="n">
        <f aca="false">V32+V33</f>
        <v>952.737418462372</v>
      </c>
      <c r="W34" s="43" t="n">
        <f aca="false">W32+W33</f>
        <v>1065.47069304886</v>
      </c>
      <c r="X34" s="43" t="n">
        <f aca="false">X32+X33</f>
        <v>1182.42290131302</v>
      </c>
      <c r="Y34" s="43" t="n">
        <f aca="false">Y32+Y33</f>
        <v>1303.59404325485</v>
      </c>
      <c r="Z34" s="43" t="n">
        <f aca="false">Z32+Z33</f>
        <v>1428.98411887436</v>
      </c>
      <c r="AA34" s="43" t="n">
        <f aca="false">AA32+AA33</f>
        <v>1606.66465220501</v>
      </c>
      <c r="AB34" s="43" t="n">
        <f aca="false">AB32+AB33</f>
        <v>1752.29328377529</v>
      </c>
      <c r="AC34" s="43" t="n">
        <f aca="false">AC32+AC33</f>
        <v>1903.6960637907</v>
      </c>
      <c r="AD34" s="43" t="n">
        <f aca="false">AD32+AD33</f>
        <v>2054.05834513996</v>
      </c>
      <c r="AE34" s="43" t="n">
        <f aca="false">AE32+AE33</f>
        <v>2211.47709666758</v>
      </c>
      <c r="AF34" s="43" t="n">
        <f aca="false">AF32+AF33</f>
        <v>2375.16680379581</v>
      </c>
    </row>
    <row r="35" customFormat="false" ht="15" hidden="false" customHeight="true" outlineLevel="0" collapsed="false">
      <c r="B35" s="16" t="s">
        <v>379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</row>
    <row r="36" customFormat="false" ht="15" hidden="false" customHeight="true" outlineLevel="0" collapsed="false">
      <c r="B36" s="12" t="s">
        <v>380</v>
      </c>
      <c r="C36" s="25" t="n">
        <f aca="false">Drivers!C11*(Assumptions!$C$25/1000000*Assumptions!$C$33*(1-Assumptions!$C$39)+Assumptions!$C$26/1000000*Assumptions!$C$34)*(1+Assumptions!$C$41)</f>
        <v>36.176</v>
      </c>
      <c r="D36" s="25" t="n">
        <f aca="false">Drivers!D11*(Assumptions!$C$25/1000000*Assumptions!$C$33*(1-Assumptions!$C$39)+Assumptions!$C$26/1000000*Assumptions!$C$34)*(1+Assumptions!$C$41)</f>
        <v>81.396</v>
      </c>
      <c r="E36" s="25" t="n">
        <f aca="false">Drivers!E11*(Assumptions!$C$25/1000000*Assumptions!$C$33*(1-Assumptions!$C$39)+Assumptions!$C$26/1000000*Assumptions!$C$34)*(1+Assumptions!$C$41)</f>
        <v>144.704</v>
      </c>
      <c r="F36" s="25" t="n">
        <f aca="false">Drivers!F11*(Assumptions!$C$25/1000000*Assumptions!$C$33*(1-Assumptions!$C$39)+Assumptions!$C$26/1000000*Assumptions!$C$34)*(1+Assumptions!$C$41)</f>
        <v>235.144</v>
      </c>
      <c r="G36" s="25" t="n">
        <f aca="false">Drivers!G11*(Assumptions!$C$25/1000000*Assumptions!$C$33*(1-Assumptions!$C$39)+Assumptions!$C$26/1000000*Assumptions!$C$34)*(1+Assumptions!$C$41)</f>
        <v>339.15</v>
      </c>
      <c r="H36" s="25" t="n">
        <f aca="false">Drivers!H11*(Assumptions!$C$25/1000000*Assumptions!$C$33*(1-Assumptions!$C$39)+Assumptions!$C$26/1000000*Assumptions!$C$34)*(1+Assumptions!$C$41)</f>
        <v>452.2</v>
      </c>
      <c r="I36" s="25" t="n">
        <f aca="false">Drivers!I11*(Assumptions!$C$25/1000000*Assumptions!$C$33*(1-Assumptions!$C$39)+Assumptions!$C$26/1000000*Assumptions!$C$34)*(1+Assumptions!$C$41)</f>
        <v>678.3</v>
      </c>
      <c r="J36" s="25" t="n">
        <f aca="false">Drivers!J11*(Assumptions!$C$25/1000000*Assumptions!$C$33*(1-Assumptions!$C$39)+Assumptions!$C$26/1000000*Assumptions!$C$34)*(1+Assumptions!$C$41)</f>
        <v>1040.06</v>
      </c>
      <c r="K36" s="25" t="n">
        <f aca="false">Drivers!K11*(Assumptions!$C$25/1000000*Assumptions!$C$33*(1-Assumptions!$C$39)+Assumptions!$C$26/1000000*Assumptions!$C$34)*(1+Assumptions!$C$41)</f>
        <v>1537.48</v>
      </c>
      <c r="L36" s="25" t="n">
        <f aca="false">Drivers!L11*(Assumptions!$C$25/1000000*Assumptions!$C$33*(1-Assumptions!$C$39)+Assumptions!$C$26/1000000*Assumptions!$C$34)*(1+Assumptions!$C$41)</f>
        <v>2261</v>
      </c>
      <c r="M36" s="25" t="n">
        <f aca="false">Drivers!M11*(Assumptions!$C$25/1000000*Assumptions!$C$33*(1-Assumptions!$C$39)+Assumptions!$C$26/1000000*Assumptions!$C$34)*(1+Assumptions!$C$41)</f>
        <v>3255.84</v>
      </c>
      <c r="N36" s="25" t="n">
        <f aca="false">Drivers!N11*(Assumptions!$C$25/1000000*Assumptions!$C$33*(1-Assumptions!$C$39)+Assumptions!$C$26/1000000*Assumptions!$C$34)*(1+Assumptions!$C$41)</f>
        <v>4522</v>
      </c>
      <c r="O36" s="25" t="n">
        <f aca="false">Drivers!O11*(Assumptions!$C$25/1000000*Assumptions!$C$33*(1-Assumptions!$C$39)+Assumptions!$C$26/1000000*Assumptions!$C$34)*(1+Assumptions!$C$41)</f>
        <v>5426.4</v>
      </c>
      <c r="P36" s="25" t="n">
        <f aca="false">Drivers!P11*(Assumptions!$C$25/1000000*Assumptions!$C$33*(1-Assumptions!$C$39)+Assumptions!$C$26/1000000*Assumptions!$C$34)*(1+Assumptions!$C$41)</f>
        <v>6556.9</v>
      </c>
      <c r="Q36" s="25" t="n">
        <f aca="false">Drivers!Q11*(Assumptions!$C$25/1000000*Assumptions!$C$33*(1-Assumptions!$C$39)+Assumptions!$C$26/1000000*Assumptions!$C$34)*(1+Assumptions!$C$41)</f>
        <v>7777.84</v>
      </c>
      <c r="R36" s="25" t="n">
        <f aca="false">Drivers!R11*(Assumptions!$C$25/1000000*Assumptions!$C$33*(1-Assumptions!$C$39)+Assumptions!$C$26/1000000*Assumptions!$C$34)*(1+Assumptions!$C$41)</f>
        <v>9270.1</v>
      </c>
      <c r="S36" s="25" t="n">
        <f aca="false">Drivers!S11*(Assumptions!$C$25/1000000*Assumptions!$C$33*(1-Assumptions!$C$39)+Assumptions!$C$26/1000000*Assumptions!$C$34)*(1+Assumptions!$C$41)</f>
        <v>11305</v>
      </c>
      <c r="T36" s="25" t="n">
        <f aca="false">Drivers!T11*(Assumptions!$C$25/1000000*Assumptions!$C$33*(1-Assumptions!$C$39)+Assumptions!$C$26/1000000*Assumptions!$C$34)*(1+Assumptions!$C$41)</f>
        <v>13566</v>
      </c>
      <c r="U36" s="25" t="n">
        <f aca="false">Drivers!U11*(Assumptions!$C$25/1000000*Assumptions!$C$33*(1-Assumptions!$C$39)+Assumptions!$C$26/1000000*Assumptions!$C$34)*(1+Assumptions!$C$41)</f>
        <v>14244.3</v>
      </c>
      <c r="V36" s="25" t="n">
        <f aca="false">Drivers!V11*(Assumptions!$C$25/1000000*Assumptions!$C$33*(1-Assumptions!$C$39)+Assumptions!$C$26/1000000*Assumptions!$C$34)*(1+Assumptions!$C$41)</f>
        <v>14922.6</v>
      </c>
      <c r="W36" s="25" t="n">
        <f aca="false">Drivers!W11*(Assumptions!$C$25/1000000*Assumptions!$C$33*(1-Assumptions!$C$39)+Assumptions!$C$26/1000000*Assumptions!$C$34)*(1+Assumptions!$C$41)</f>
        <v>15600.9</v>
      </c>
      <c r="X36" s="25" t="n">
        <f aca="false">Drivers!X11*(Assumptions!$C$25/1000000*Assumptions!$C$33*(1-Assumptions!$C$39)+Assumptions!$C$26/1000000*Assumptions!$C$34)*(1+Assumptions!$C$41)</f>
        <v>16279.2</v>
      </c>
      <c r="Y36" s="25" t="n">
        <f aca="false">Drivers!Y11*(Assumptions!$C$25/1000000*Assumptions!$C$33*(1-Assumptions!$C$39)+Assumptions!$C$26/1000000*Assumptions!$C$34)*(1+Assumptions!$C$41)</f>
        <v>16957.5</v>
      </c>
      <c r="Z36" s="25" t="n">
        <f aca="false">Drivers!Z11*(Assumptions!$C$25/1000000*Assumptions!$C$33*(1-Assumptions!$C$39)+Assumptions!$C$26/1000000*Assumptions!$C$34)*(1+Assumptions!$C$41)</f>
        <v>17635.8</v>
      </c>
      <c r="AA36" s="25" t="n">
        <f aca="false">Drivers!AA11*(Assumptions!$C$25/1000000*Assumptions!$C$33*(1-Assumptions!$C$39)+Assumptions!$C$26/1000000*Assumptions!$C$34)*(1+Assumptions!$C$41)</f>
        <v>18540.2</v>
      </c>
      <c r="AB36" s="25" t="n">
        <f aca="false">Drivers!AB11*(Assumptions!$C$25/1000000*Assumptions!$C$33*(1-Assumptions!$C$39)+Assumptions!$C$26/1000000*Assumptions!$C$34)*(1+Assumptions!$C$41)</f>
        <v>19444.6</v>
      </c>
      <c r="AC36" s="25" t="n">
        <f aca="false">Drivers!AC11*(Assumptions!$C$25/1000000*Assumptions!$C$33*(1-Assumptions!$C$39)+Assumptions!$C$26/1000000*Assumptions!$C$34)*(1+Assumptions!$C$41)</f>
        <v>20349</v>
      </c>
      <c r="AD36" s="25" t="n">
        <f aca="false">Drivers!AD11*(Assumptions!$C$25/1000000*Assumptions!$C$33*(1-Assumptions!$C$39)+Assumptions!$C$26/1000000*Assumptions!$C$34)*(1+Assumptions!$C$41)</f>
        <v>21027.3</v>
      </c>
      <c r="AE36" s="25" t="n">
        <f aca="false">Drivers!AE11*(Assumptions!$C$25/1000000*Assumptions!$C$33*(1-Assumptions!$C$39)+Assumptions!$C$26/1000000*Assumptions!$C$34)*(1+Assumptions!$C$41)</f>
        <v>21796.04</v>
      </c>
      <c r="AF36" s="25" t="n">
        <f aca="false">Drivers!AF11*(Assumptions!$C$25/1000000*Assumptions!$C$33*(1-Assumptions!$C$39)+Assumptions!$C$26/1000000*Assumptions!$C$34)*(1+Assumptions!$C$41)</f>
        <v>22610</v>
      </c>
    </row>
    <row r="37" customFormat="false" ht="15" hidden="false" customHeight="true" outlineLevel="0" collapsed="false">
      <c r="B37" s="12" t="s">
        <v>381</v>
      </c>
      <c r="C37" s="25" t="n">
        <f aca="false">Drivers!C12*(Assumptions!$C$27/1000000*Assumptions!$C$35+Assumptions!$C$28/1000000*Assumptions!$C$36)*(1-Assumptions!$C$40)*(1+Assumptions!$C$41)</f>
        <v>175.56</v>
      </c>
      <c r="D37" s="25" t="n">
        <f aca="false">Drivers!D12*(Assumptions!$C$27/1000000*Assumptions!$C$35+Assumptions!$C$28/1000000*Assumptions!$C$36)*(1-Assumptions!$C$40)*(1+Assumptions!$C$41)</f>
        <v>395.01</v>
      </c>
      <c r="E37" s="25" t="n">
        <f aca="false">Drivers!E12*(Assumptions!$C$27/1000000*Assumptions!$C$35+Assumptions!$C$28/1000000*Assumptions!$C$36)*(1-Assumptions!$C$40)*(1+Assumptions!$C$41)</f>
        <v>702.24</v>
      </c>
      <c r="F37" s="25" t="n">
        <f aca="false">Drivers!F12*(Assumptions!$C$27/1000000*Assumptions!$C$35+Assumptions!$C$28/1000000*Assumptions!$C$36)*(1-Assumptions!$C$40)*(1+Assumptions!$C$41)</f>
        <v>1141.14</v>
      </c>
      <c r="G37" s="25" t="n">
        <f aca="false">Drivers!G12*(Assumptions!$C$27/1000000*Assumptions!$C$35+Assumptions!$C$28/1000000*Assumptions!$C$36)*(1-Assumptions!$C$40)*(1+Assumptions!$C$41)</f>
        <v>1645.875</v>
      </c>
      <c r="H37" s="25" t="n">
        <f aca="false">Drivers!H12*(Assumptions!$C$27/1000000*Assumptions!$C$35+Assumptions!$C$28/1000000*Assumptions!$C$36)*(1-Assumptions!$C$40)*(1+Assumptions!$C$41)</f>
        <v>2194.5</v>
      </c>
      <c r="I37" s="25" t="n">
        <f aca="false">Drivers!I12*(Assumptions!$C$27/1000000*Assumptions!$C$35+Assumptions!$C$28/1000000*Assumptions!$C$36)*(1-Assumptions!$C$40)*(1+Assumptions!$C$41)</f>
        <v>3291.75</v>
      </c>
      <c r="J37" s="25" t="n">
        <f aca="false">Drivers!J12*(Assumptions!$C$27/1000000*Assumptions!$C$35+Assumptions!$C$28/1000000*Assumptions!$C$36)*(1-Assumptions!$C$40)*(1+Assumptions!$C$41)</f>
        <v>5047.35</v>
      </c>
      <c r="K37" s="25" t="n">
        <f aca="false">Drivers!K12*(Assumptions!$C$27/1000000*Assumptions!$C$35+Assumptions!$C$28/1000000*Assumptions!$C$36)*(1-Assumptions!$C$40)*(1+Assumptions!$C$41)</f>
        <v>7461.3</v>
      </c>
      <c r="L37" s="25" t="n">
        <f aca="false">Drivers!L12*(Assumptions!$C$27/1000000*Assumptions!$C$35+Assumptions!$C$28/1000000*Assumptions!$C$36)*(1-Assumptions!$C$40)*(1+Assumptions!$C$41)</f>
        <v>10972.5</v>
      </c>
      <c r="M37" s="25" t="n">
        <f aca="false">Drivers!M12*(Assumptions!$C$27/1000000*Assumptions!$C$35+Assumptions!$C$28/1000000*Assumptions!$C$36)*(1-Assumptions!$C$40)*(1+Assumptions!$C$41)</f>
        <v>15800.4</v>
      </c>
      <c r="N37" s="25" t="n">
        <f aca="false">Drivers!N12*(Assumptions!$C$27/1000000*Assumptions!$C$35+Assumptions!$C$28/1000000*Assumptions!$C$36)*(1-Assumptions!$C$40)*(1+Assumptions!$C$41)</f>
        <v>21945</v>
      </c>
      <c r="O37" s="25" t="n">
        <f aca="false">Drivers!O12*(Assumptions!$C$27/1000000*Assumptions!$C$35+Assumptions!$C$28/1000000*Assumptions!$C$36)*(1-Assumptions!$C$40)*(1+Assumptions!$C$41)</f>
        <v>26334</v>
      </c>
      <c r="P37" s="25" t="n">
        <f aca="false">Drivers!P12*(Assumptions!$C$27/1000000*Assumptions!$C$35+Assumptions!$C$28/1000000*Assumptions!$C$36)*(1-Assumptions!$C$40)*(1+Assumptions!$C$41)</f>
        <v>31820.25</v>
      </c>
      <c r="Q37" s="25" t="n">
        <f aca="false">Drivers!Q12*(Assumptions!$C$27/1000000*Assumptions!$C$35+Assumptions!$C$28/1000000*Assumptions!$C$36)*(1-Assumptions!$C$40)*(1+Assumptions!$C$41)</f>
        <v>37745.4</v>
      </c>
      <c r="R37" s="25" t="n">
        <f aca="false">Drivers!R12*(Assumptions!$C$27/1000000*Assumptions!$C$35+Assumptions!$C$28/1000000*Assumptions!$C$36)*(1-Assumptions!$C$40)*(1+Assumptions!$C$41)</f>
        <v>44987.25</v>
      </c>
      <c r="S37" s="25" t="n">
        <f aca="false">Drivers!S12*(Assumptions!$C$27/1000000*Assumptions!$C$35+Assumptions!$C$28/1000000*Assumptions!$C$36)*(1-Assumptions!$C$40)*(1+Assumptions!$C$41)</f>
        <v>54862.5</v>
      </c>
      <c r="T37" s="25" t="n">
        <f aca="false">Drivers!T12*(Assumptions!$C$27/1000000*Assumptions!$C$35+Assumptions!$C$28/1000000*Assumptions!$C$36)*(1-Assumptions!$C$40)*(1+Assumptions!$C$41)</f>
        <v>65835</v>
      </c>
      <c r="U37" s="25" t="n">
        <f aca="false">Drivers!U12*(Assumptions!$C$27/1000000*Assumptions!$C$35+Assumptions!$C$28/1000000*Assumptions!$C$36)*(1-Assumptions!$C$40)*(1+Assumptions!$C$41)</f>
        <v>69126.75</v>
      </c>
      <c r="V37" s="25" t="n">
        <f aca="false">Drivers!V12*(Assumptions!$C$27/1000000*Assumptions!$C$35+Assumptions!$C$28/1000000*Assumptions!$C$36)*(1-Assumptions!$C$40)*(1+Assumptions!$C$41)</f>
        <v>72418.5</v>
      </c>
      <c r="W37" s="25" t="n">
        <f aca="false">Drivers!W12*(Assumptions!$C$27/1000000*Assumptions!$C$35+Assumptions!$C$28/1000000*Assumptions!$C$36)*(1-Assumptions!$C$40)*(1+Assumptions!$C$41)</f>
        <v>75710.25</v>
      </c>
      <c r="X37" s="25" t="n">
        <f aca="false">Drivers!X12*(Assumptions!$C$27/1000000*Assumptions!$C$35+Assumptions!$C$28/1000000*Assumptions!$C$36)*(1-Assumptions!$C$40)*(1+Assumptions!$C$41)</f>
        <v>79002</v>
      </c>
      <c r="Y37" s="25" t="n">
        <f aca="false">Drivers!Y12*(Assumptions!$C$27/1000000*Assumptions!$C$35+Assumptions!$C$28/1000000*Assumptions!$C$36)*(1-Assumptions!$C$40)*(1+Assumptions!$C$41)</f>
        <v>82293.75</v>
      </c>
      <c r="Z37" s="25" t="n">
        <f aca="false">Drivers!Z12*(Assumptions!$C$27/1000000*Assumptions!$C$35+Assumptions!$C$28/1000000*Assumptions!$C$36)*(1-Assumptions!$C$40)*(1+Assumptions!$C$41)</f>
        <v>85585.5</v>
      </c>
      <c r="AA37" s="25" t="n">
        <f aca="false">Drivers!AA12*(Assumptions!$C$27/1000000*Assumptions!$C$35+Assumptions!$C$28/1000000*Assumptions!$C$36)*(1-Assumptions!$C$40)*(1+Assumptions!$C$41)</f>
        <v>89974.5</v>
      </c>
      <c r="AB37" s="25" t="n">
        <f aca="false">Drivers!AB12*(Assumptions!$C$27/1000000*Assumptions!$C$35+Assumptions!$C$28/1000000*Assumptions!$C$36)*(1-Assumptions!$C$40)*(1+Assumptions!$C$41)</f>
        <v>94363.5</v>
      </c>
      <c r="AC37" s="25" t="n">
        <f aca="false">Drivers!AC12*(Assumptions!$C$27/1000000*Assumptions!$C$35+Assumptions!$C$28/1000000*Assumptions!$C$36)*(1-Assumptions!$C$40)*(1+Assumptions!$C$41)</f>
        <v>98752.5</v>
      </c>
      <c r="AD37" s="25" t="n">
        <f aca="false">Drivers!AD12*(Assumptions!$C$27/1000000*Assumptions!$C$35+Assumptions!$C$28/1000000*Assumptions!$C$36)*(1-Assumptions!$C$40)*(1+Assumptions!$C$41)</f>
        <v>102044.25</v>
      </c>
      <c r="AE37" s="25" t="n">
        <f aca="false">Drivers!AE12*(Assumptions!$C$27/1000000*Assumptions!$C$35+Assumptions!$C$28/1000000*Assumptions!$C$36)*(1-Assumptions!$C$40)*(1+Assumptions!$C$41)</f>
        <v>105774.9</v>
      </c>
      <c r="AF37" s="25" t="n">
        <f aca="false">Drivers!AF12*(Assumptions!$C$27/1000000*Assumptions!$C$35+Assumptions!$C$28/1000000*Assumptions!$C$36)*(1-Assumptions!$C$40)*(1+Assumptions!$C$41)</f>
        <v>109725</v>
      </c>
    </row>
    <row r="38" customFormat="false" ht="15" hidden="false" customHeight="true" outlineLevel="0" collapsed="false">
      <c r="B38" s="12" t="s">
        <v>382</v>
      </c>
      <c r="C38" s="25" t="n">
        <f aca="false">Assumptions!$C$29*30.4*(Assumptions!$C$30/1000000*Assumptions!$C$37+Assumptions!$C$31/1000000*Assumptions!$C$38)*(1+Assumptions!$C$41)</f>
        <v>5.32</v>
      </c>
      <c r="D38" s="25" t="n">
        <f aca="false">Assumptions!$C$29*30.4*(Assumptions!$C$30/1000000*Assumptions!$C$37+Assumptions!$C$31/1000000*Assumptions!$C$38)*(1+Assumptions!$C$41)</f>
        <v>5.32</v>
      </c>
      <c r="E38" s="25" t="n">
        <f aca="false">Assumptions!$C$29*30.4*(Assumptions!$C$30/1000000*Assumptions!$C$37+Assumptions!$C$31/1000000*Assumptions!$C$38)*(1+Assumptions!$C$41)</f>
        <v>5.32</v>
      </c>
      <c r="F38" s="25" t="n">
        <f aca="false">Assumptions!$C$29*30.4*(Assumptions!$C$30/1000000*Assumptions!$C$37+Assumptions!$C$31/1000000*Assumptions!$C$38)*(1+Assumptions!$C$41)</f>
        <v>5.32</v>
      </c>
      <c r="G38" s="25" t="n">
        <f aca="false">Assumptions!$C$29*30.4*(Assumptions!$C$30/1000000*Assumptions!$C$37+Assumptions!$C$31/1000000*Assumptions!$C$38)*(1+Assumptions!$C$41)</f>
        <v>5.32</v>
      </c>
      <c r="H38" s="25" t="n">
        <f aca="false">Assumptions!$C$29*30.4*(Assumptions!$C$30/1000000*Assumptions!$C$37+Assumptions!$C$31/1000000*Assumptions!$C$38)*(1+Assumptions!$C$41)</f>
        <v>5.32</v>
      </c>
      <c r="I38" s="25" t="n">
        <f aca="false">Assumptions!$C$29*30.4*(Assumptions!$C$30/1000000*Assumptions!$C$37+Assumptions!$C$31/1000000*Assumptions!$C$38)*(1+Assumptions!$C$41)</f>
        <v>5.32</v>
      </c>
      <c r="J38" s="25" t="n">
        <f aca="false">Assumptions!$C$29*30.4*(Assumptions!$C$30/1000000*Assumptions!$C$37+Assumptions!$C$31/1000000*Assumptions!$C$38)*(1+Assumptions!$C$41)</f>
        <v>5.32</v>
      </c>
      <c r="K38" s="25" t="n">
        <f aca="false">Assumptions!$C$29*30.4*(Assumptions!$C$30/1000000*Assumptions!$C$37+Assumptions!$C$31/1000000*Assumptions!$C$38)*(1+Assumptions!$C$41)</f>
        <v>5.32</v>
      </c>
      <c r="L38" s="25" t="n">
        <f aca="false">Assumptions!$C$29*30.4*(Assumptions!$C$30/1000000*Assumptions!$C$37+Assumptions!$C$31/1000000*Assumptions!$C$38)*(1+Assumptions!$C$41)</f>
        <v>5.32</v>
      </c>
      <c r="M38" s="25" t="n">
        <f aca="false">Assumptions!$C$29*30.4*(Assumptions!$C$30/1000000*Assumptions!$C$37+Assumptions!$C$31/1000000*Assumptions!$C$38)*(1+Assumptions!$C$41)</f>
        <v>5.32</v>
      </c>
      <c r="N38" s="25" t="n">
        <f aca="false">Assumptions!$C$29*30.4*(Assumptions!$C$30/1000000*Assumptions!$C$37+Assumptions!$C$31/1000000*Assumptions!$C$38)*(1+Assumptions!$C$41)</f>
        <v>5.32</v>
      </c>
      <c r="O38" s="25" t="n">
        <f aca="false">Assumptions!$C$29*30.4*(Assumptions!$C$30/1000000*Assumptions!$C$37+Assumptions!$C$31/1000000*Assumptions!$C$38)*(1+Assumptions!$C$41)</f>
        <v>5.32</v>
      </c>
      <c r="P38" s="25" t="n">
        <f aca="false">Assumptions!$C$29*30.4*(Assumptions!$C$30/1000000*Assumptions!$C$37+Assumptions!$C$31/1000000*Assumptions!$C$38)*(1+Assumptions!$C$41)</f>
        <v>5.32</v>
      </c>
      <c r="Q38" s="25" t="n">
        <f aca="false">Assumptions!$C$29*30.4*(Assumptions!$C$30/1000000*Assumptions!$C$37+Assumptions!$C$31/1000000*Assumptions!$C$38)*(1+Assumptions!$C$41)</f>
        <v>5.32</v>
      </c>
      <c r="R38" s="25" t="n">
        <f aca="false">Assumptions!$C$29*30.4*(Assumptions!$C$30/1000000*Assumptions!$C$37+Assumptions!$C$31/1000000*Assumptions!$C$38)*(1+Assumptions!$C$41)</f>
        <v>5.32</v>
      </c>
      <c r="S38" s="25" t="n">
        <f aca="false">Assumptions!$C$29*30.4*(Assumptions!$C$30/1000000*Assumptions!$C$37+Assumptions!$C$31/1000000*Assumptions!$C$38)*(1+Assumptions!$C$41)</f>
        <v>5.32</v>
      </c>
      <c r="T38" s="25" t="n">
        <f aca="false">Assumptions!$C$29*30.4*(Assumptions!$C$30/1000000*Assumptions!$C$37+Assumptions!$C$31/1000000*Assumptions!$C$38)*(1+Assumptions!$C$41)</f>
        <v>5.32</v>
      </c>
      <c r="U38" s="25" t="n">
        <f aca="false">Assumptions!$C$29*30.4*(Assumptions!$C$30/1000000*Assumptions!$C$37+Assumptions!$C$31/1000000*Assumptions!$C$38)*(1+Assumptions!$C$41)</f>
        <v>5.32</v>
      </c>
      <c r="V38" s="25" t="n">
        <f aca="false">Assumptions!$C$29*30.4*(Assumptions!$C$30/1000000*Assumptions!$C$37+Assumptions!$C$31/1000000*Assumptions!$C$38)*(1+Assumptions!$C$41)</f>
        <v>5.32</v>
      </c>
      <c r="W38" s="25" t="n">
        <f aca="false">Assumptions!$C$29*30.4*(Assumptions!$C$30/1000000*Assumptions!$C$37+Assumptions!$C$31/1000000*Assumptions!$C$38)*(1+Assumptions!$C$41)</f>
        <v>5.32</v>
      </c>
      <c r="X38" s="25" t="n">
        <f aca="false">Assumptions!$C$29*30.4*(Assumptions!$C$30/1000000*Assumptions!$C$37+Assumptions!$C$31/1000000*Assumptions!$C$38)*(1+Assumptions!$C$41)</f>
        <v>5.32</v>
      </c>
      <c r="Y38" s="25" t="n">
        <f aca="false">Assumptions!$C$29*30.4*(Assumptions!$C$30/1000000*Assumptions!$C$37+Assumptions!$C$31/1000000*Assumptions!$C$38)*(1+Assumptions!$C$41)</f>
        <v>5.32</v>
      </c>
      <c r="Z38" s="25" t="n">
        <f aca="false">Assumptions!$C$29*30.4*(Assumptions!$C$30/1000000*Assumptions!$C$37+Assumptions!$C$31/1000000*Assumptions!$C$38)*(1+Assumptions!$C$41)</f>
        <v>5.32</v>
      </c>
      <c r="AA38" s="25" t="n">
        <f aca="false">Assumptions!$C$29*30.4*(Assumptions!$C$30/1000000*Assumptions!$C$37+Assumptions!$C$31/1000000*Assumptions!$C$38)*(1+Assumptions!$C$41)</f>
        <v>5.32</v>
      </c>
      <c r="AB38" s="25" t="n">
        <f aca="false">Assumptions!$C$29*30.4*(Assumptions!$C$30/1000000*Assumptions!$C$37+Assumptions!$C$31/1000000*Assumptions!$C$38)*(1+Assumptions!$C$41)</f>
        <v>5.32</v>
      </c>
      <c r="AC38" s="25" t="n">
        <f aca="false">Assumptions!$C$29*30.4*(Assumptions!$C$30/1000000*Assumptions!$C$37+Assumptions!$C$31/1000000*Assumptions!$C$38)*(1+Assumptions!$C$41)</f>
        <v>5.32</v>
      </c>
      <c r="AD38" s="25" t="n">
        <f aca="false">Assumptions!$C$29*30.4*(Assumptions!$C$30/1000000*Assumptions!$C$37+Assumptions!$C$31/1000000*Assumptions!$C$38)*(1+Assumptions!$C$41)</f>
        <v>5.32</v>
      </c>
      <c r="AE38" s="25" t="n">
        <f aca="false">Assumptions!$C$29*30.4*(Assumptions!$C$30/1000000*Assumptions!$C$37+Assumptions!$C$31/1000000*Assumptions!$C$38)*(1+Assumptions!$C$41)</f>
        <v>5.32</v>
      </c>
      <c r="AF38" s="25" t="n">
        <f aca="false">Assumptions!$C$29*30.4*(Assumptions!$C$30/1000000*Assumptions!$C$37+Assumptions!$C$31/1000000*Assumptions!$C$38)*(1+Assumptions!$C$41)</f>
        <v>5.32</v>
      </c>
    </row>
    <row r="39" customFormat="false" ht="15" hidden="false" customHeight="true" outlineLevel="0" collapsed="false">
      <c r="B39" s="42" t="s">
        <v>383</v>
      </c>
      <c r="C39" s="43" t="n">
        <f aca="false">C36+C37+C38</f>
        <v>217.056</v>
      </c>
      <c r="D39" s="43" t="n">
        <f aca="false">D36+D37+D38</f>
        <v>481.726</v>
      </c>
      <c r="E39" s="43" t="n">
        <f aca="false">E36+E37+E38</f>
        <v>852.264</v>
      </c>
      <c r="F39" s="43" t="n">
        <f aca="false">F36+F37+F38</f>
        <v>1381.604</v>
      </c>
      <c r="G39" s="43" t="n">
        <f aca="false">G36+G37+G38</f>
        <v>1990.345</v>
      </c>
      <c r="H39" s="43" t="n">
        <f aca="false">H36+H37+H38</f>
        <v>2652.02</v>
      </c>
      <c r="I39" s="43" t="n">
        <f aca="false">I36+I37+I38</f>
        <v>3975.37</v>
      </c>
      <c r="J39" s="43" t="n">
        <f aca="false">J36+J37+J38</f>
        <v>6092.73</v>
      </c>
      <c r="K39" s="43" t="n">
        <f aca="false">K36+K37+K38</f>
        <v>9004.1</v>
      </c>
      <c r="L39" s="43" t="n">
        <f aca="false">L36+L37+L38</f>
        <v>13238.82</v>
      </c>
      <c r="M39" s="43" t="n">
        <f aca="false">M36+M37+M38</f>
        <v>19061.56</v>
      </c>
      <c r="N39" s="43" t="n">
        <f aca="false">N36+N37+N38</f>
        <v>26472.32</v>
      </c>
      <c r="O39" s="43" t="n">
        <f aca="false">O36+O37+O38</f>
        <v>31765.72</v>
      </c>
      <c r="P39" s="43" t="n">
        <f aca="false">P36+P37+P38</f>
        <v>38382.47</v>
      </c>
      <c r="Q39" s="43" t="n">
        <f aca="false">Q36+Q37+Q38</f>
        <v>45528.56</v>
      </c>
      <c r="R39" s="43" t="n">
        <f aca="false">R36+R37+R38</f>
        <v>54262.67</v>
      </c>
      <c r="S39" s="43" t="n">
        <f aca="false">S36+S37+S38</f>
        <v>66172.82</v>
      </c>
      <c r="T39" s="43" t="n">
        <f aca="false">T36+T37+T38</f>
        <v>79406.32</v>
      </c>
      <c r="U39" s="43" t="n">
        <f aca="false">U36+U37+U38</f>
        <v>83376.37</v>
      </c>
      <c r="V39" s="43" t="n">
        <f aca="false">V36+V37+V38</f>
        <v>87346.42</v>
      </c>
      <c r="W39" s="43" t="n">
        <f aca="false">W36+W37+W38</f>
        <v>91316.47</v>
      </c>
      <c r="X39" s="43" t="n">
        <f aca="false">X36+X37+X38</f>
        <v>95286.52</v>
      </c>
      <c r="Y39" s="43" t="n">
        <f aca="false">Y36+Y37+Y38</f>
        <v>99256.57</v>
      </c>
      <c r="Z39" s="43" t="n">
        <f aca="false">Z36+Z37+Z38</f>
        <v>103226.62</v>
      </c>
      <c r="AA39" s="43" t="n">
        <f aca="false">AA36+AA37+AA38</f>
        <v>108520.02</v>
      </c>
      <c r="AB39" s="43" t="n">
        <f aca="false">AB36+AB37+AB38</f>
        <v>113813.42</v>
      </c>
      <c r="AC39" s="43" t="n">
        <f aca="false">AC36+AC37+AC38</f>
        <v>119106.82</v>
      </c>
      <c r="AD39" s="43" t="n">
        <f aca="false">AD36+AD37+AD38</f>
        <v>123076.87</v>
      </c>
      <c r="AE39" s="43" t="n">
        <f aca="false">AE36+AE37+AE38</f>
        <v>127576.26</v>
      </c>
      <c r="AF39" s="43" t="n">
        <f aca="false">AF36+AF37+AF38</f>
        <v>132340.32</v>
      </c>
    </row>
    <row r="40" customFormat="false" ht="15" hidden="false" customHeight="true" outlineLevel="0" collapsed="false">
      <c r="B40" s="16" t="s">
        <v>384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 customFormat="false" ht="15" hidden="false" customHeight="true" outlineLevel="0" collapsed="false">
      <c r="B41" s="12" t="s">
        <v>385</v>
      </c>
      <c r="C41" s="25" t="n">
        <f aca="false">IF((1)&gt;=Assumptions!$C$88,Drivers!C7/1000*Assumptions!$C$89*Assumptions!$C$90,0)</f>
        <v>0</v>
      </c>
      <c r="D41" s="25" t="n">
        <f aca="false">IF((2)&gt;=Assumptions!$C$88,Drivers!D7/1000*Assumptions!$C$89*Assumptions!$C$90,0)</f>
        <v>0</v>
      </c>
      <c r="E41" s="25" t="n">
        <f aca="false">IF((3)&gt;=Assumptions!$C$88,Drivers!E7/1000*Assumptions!$C$89*Assumptions!$C$90,0)</f>
        <v>0</v>
      </c>
      <c r="F41" s="25" t="n">
        <f aca="false">IF((4)&gt;=Assumptions!$C$88,Drivers!F7/1000*Assumptions!$C$89*Assumptions!$C$90,0)</f>
        <v>0</v>
      </c>
      <c r="G41" s="25" t="n">
        <f aca="false">IF((5)&gt;=Assumptions!$C$88,Drivers!G7/1000*Assumptions!$C$89*Assumptions!$C$90,0)</f>
        <v>0</v>
      </c>
      <c r="H41" s="25" t="n">
        <f aca="false">IF((6)&gt;=Assumptions!$C$88,Drivers!H7/1000*Assumptions!$C$89*Assumptions!$C$90,0)</f>
        <v>0</v>
      </c>
      <c r="I41" s="25" t="n">
        <f aca="false">IF((7)&gt;=Assumptions!$C$88,Drivers!I7/1000*Assumptions!$C$89*Assumptions!$C$90,0)</f>
        <v>0</v>
      </c>
      <c r="J41" s="25" t="n">
        <f aca="false">IF((8)&gt;=Assumptions!$C$88,Drivers!J7/1000*Assumptions!$C$89*Assumptions!$C$90,0)</f>
        <v>0</v>
      </c>
      <c r="K41" s="25" t="n">
        <f aca="false">IF((9)&gt;=Assumptions!$C$88,Drivers!K7/1000*Assumptions!$C$89*Assumptions!$C$90,0)</f>
        <v>0</v>
      </c>
      <c r="L41" s="25" t="n">
        <f aca="false">IF((10)&gt;=Assumptions!$C$88,Drivers!L7/1000*Assumptions!$C$89*Assumptions!$C$90,0)</f>
        <v>0</v>
      </c>
      <c r="M41" s="25" t="n">
        <f aca="false">IF((11)&gt;=Assumptions!$C$88,Drivers!M7/1000*Assumptions!$C$89*Assumptions!$C$90,0)</f>
        <v>0</v>
      </c>
      <c r="N41" s="25" t="n">
        <f aca="false">IF((12)&gt;=Assumptions!$C$88,Drivers!N7/1000*Assumptions!$C$89*Assumptions!$C$90,0)</f>
        <v>0</v>
      </c>
      <c r="O41" s="25" t="n">
        <f aca="false">IF((13)&gt;=Assumptions!$C$88,Drivers!O7/1000*Assumptions!$C$89*Assumptions!$C$90,0)</f>
        <v>28.8</v>
      </c>
      <c r="P41" s="25" t="n">
        <f aca="false">IF((14)&gt;=Assumptions!$C$88,Drivers!P7/1000*Assumptions!$C$89*Assumptions!$C$90,0)</f>
        <v>34.8</v>
      </c>
      <c r="Q41" s="25" t="n">
        <f aca="false">IF((15)&gt;=Assumptions!$C$88,Drivers!Q7/1000*Assumptions!$C$89*Assumptions!$C$90,0)</f>
        <v>41.28</v>
      </c>
      <c r="R41" s="25" t="n">
        <f aca="false">IF((16)&gt;=Assumptions!$C$88,Drivers!R7/1000*Assumptions!$C$89*Assumptions!$C$90,0)</f>
        <v>49.2</v>
      </c>
      <c r="S41" s="25" t="n">
        <f aca="false">IF((17)&gt;=Assumptions!$C$88,Drivers!S7/1000*Assumptions!$C$89*Assumptions!$C$90,0)</f>
        <v>60</v>
      </c>
      <c r="T41" s="25" t="n">
        <f aca="false">IF((18)&gt;=Assumptions!$C$88,Drivers!T7/1000*Assumptions!$C$89*Assumptions!$C$90,0)</f>
        <v>72</v>
      </c>
      <c r="U41" s="25" t="n">
        <f aca="false">IF((19)&gt;=Assumptions!$C$88,Drivers!U7/1000*Assumptions!$C$89*Assumptions!$C$90,0)</f>
        <v>75.6</v>
      </c>
      <c r="V41" s="25" t="n">
        <f aca="false">IF((20)&gt;=Assumptions!$C$88,Drivers!V7/1000*Assumptions!$C$89*Assumptions!$C$90,0)</f>
        <v>79.2</v>
      </c>
      <c r="W41" s="25" t="n">
        <f aca="false">IF((21)&gt;=Assumptions!$C$88,Drivers!W7/1000*Assumptions!$C$89*Assumptions!$C$90,0)</f>
        <v>82.8</v>
      </c>
      <c r="X41" s="25" t="n">
        <f aca="false">IF((22)&gt;=Assumptions!$C$88,Drivers!X7/1000*Assumptions!$C$89*Assumptions!$C$90,0)</f>
        <v>86.4</v>
      </c>
      <c r="Y41" s="25" t="n">
        <f aca="false">IF((23)&gt;=Assumptions!$C$88,Drivers!Y7/1000*Assumptions!$C$89*Assumptions!$C$90,0)</f>
        <v>90</v>
      </c>
      <c r="Z41" s="25" t="n">
        <f aca="false">IF((24)&gt;=Assumptions!$C$88,Drivers!Z7/1000*Assumptions!$C$89*Assumptions!$C$90,0)</f>
        <v>93.6</v>
      </c>
      <c r="AA41" s="25" t="n">
        <f aca="false">IF((25)&gt;=Assumptions!$C$88,Drivers!AA7/1000*Assumptions!$C$89*Assumptions!$C$90,0)</f>
        <v>98.4</v>
      </c>
      <c r="AB41" s="25" t="n">
        <f aca="false">IF((26)&gt;=Assumptions!$C$88,Drivers!AB7/1000*Assumptions!$C$89*Assumptions!$C$90,0)</f>
        <v>103.2</v>
      </c>
      <c r="AC41" s="25" t="n">
        <f aca="false">IF((27)&gt;=Assumptions!$C$88,Drivers!AC7/1000*Assumptions!$C$89*Assumptions!$C$90,0)</f>
        <v>108</v>
      </c>
      <c r="AD41" s="25" t="n">
        <f aca="false">IF((28)&gt;=Assumptions!$C$88,Drivers!AD7/1000*Assumptions!$C$89*Assumptions!$C$90,0)</f>
        <v>111.6</v>
      </c>
      <c r="AE41" s="25" t="n">
        <f aca="false">IF((29)&gt;=Assumptions!$C$88,Drivers!AE7/1000*Assumptions!$C$89*Assumptions!$C$90,0)</f>
        <v>115.68</v>
      </c>
      <c r="AF41" s="25" t="n">
        <f aca="false">IF((30)&gt;=Assumptions!$C$88,Drivers!AF7/1000*Assumptions!$C$89*Assumptions!$C$90,0)</f>
        <v>120</v>
      </c>
    </row>
    <row r="42" customFormat="false" ht="15" hidden="false" customHeight="true" outlineLevel="0" collapsed="false">
      <c r="B42" s="12" t="s">
        <v>386</v>
      </c>
      <c r="C42" s="25" t="n">
        <f aca="false">IF((1)&gt;=Assumptions!$C$88,Assumptions!$C$92+Drivers!C11/1000000*Assumptions!$C$91,0)</f>
        <v>0</v>
      </c>
      <c r="D42" s="25" t="n">
        <f aca="false">IF((2)&gt;=Assumptions!$C$88,Assumptions!$C$92+Drivers!D11/1000000*Assumptions!$C$91,0)</f>
        <v>0</v>
      </c>
      <c r="E42" s="25" t="n">
        <f aca="false">IF((3)&gt;=Assumptions!$C$88,Assumptions!$C$92+Drivers!E11/1000000*Assumptions!$C$91,0)</f>
        <v>0</v>
      </c>
      <c r="F42" s="25" t="n">
        <f aca="false">IF((4)&gt;=Assumptions!$C$88,Assumptions!$C$92+Drivers!F11/1000000*Assumptions!$C$91,0)</f>
        <v>0</v>
      </c>
      <c r="G42" s="25" t="n">
        <f aca="false">IF((5)&gt;=Assumptions!$C$88,Assumptions!$C$92+Drivers!G11/1000000*Assumptions!$C$91,0)</f>
        <v>0</v>
      </c>
      <c r="H42" s="25" t="n">
        <f aca="false">IF((6)&gt;=Assumptions!$C$88,Assumptions!$C$92+Drivers!H11/1000000*Assumptions!$C$91,0)</f>
        <v>0</v>
      </c>
      <c r="I42" s="25" t="n">
        <f aca="false">IF((7)&gt;=Assumptions!$C$88,Assumptions!$C$92+Drivers!I11/1000000*Assumptions!$C$91,0)</f>
        <v>0</v>
      </c>
      <c r="J42" s="25" t="n">
        <f aca="false">IF((8)&gt;=Assumptions!$C$88,Assumptions!$C$92+Drivers!J11/1000000*Assumptions!$C$91,0)</f>
        <v>0</v>
      </c>
      <c r="K42" s="25" t="n">
        <f aca="false">IF((9)&gt;=Assumptions!$C$88,Assumptions!$C$92+Drivers!K11/1000000*Assumptions!$C$91,0)</f>
        <v>0</v>
      </c>
      <c r="L42" s="25" t="n">
        <f aca="false">IF((10)&gt;=Assumptions!$C$88,Assumptions!$C$92+Drivers!L11/1000000*Assumptions!$C$91,0)</f>
        <v>0</v>
      </c>
      <c r="M42" s="25" t="n">
        <f aca="false">IF((11)&gt;=Assumptions!$C$88,Assumptions!$C$92+Drivers!M11/1000000*Assumptions!$C$91,0)</f>
        <v>0</v>
      </c>
      <c r="N42" s="25" t="n">
        <f aca="false">IF((12)&gt;=Assumptions!$C$88,Assumptions!$C$92+Drivers!N11/1000000*Assumptions!$C$91,0)</f>
        <v>0</v>
      </c>
      <c r="O42" s="25" t="n">
        <f aca="false">IF((13)&gt;=Assumptions!$C$88,Assumptions!$C$92+Drivers!O11/1000000*Assumptions!$C$91,0)</f>
        <v>412.768</v>
      </c>
      <c r="P42" s="25" t="n">
        <f aca="false">IF((14)&gt;=Assumptions!$C$88,Assumptions!$C$92+Drivers!P11/1000000*Assumptions!$C$91,0)</f>
        <v>415.428</v>
      </c>
      <c r="Q42" s="25" t="n">
        <f aca="false">IF((15)&gt;=Assumptions!$C$88,Assumptions!$C$92+Drivers!Q11/1000000*Assumptions!$C$91,0)</f>
        <v>418.3008</v>
      </c>
      <c r="R42" s="25" t="n">
        <f aca="false">IF((16)&gt;=Assumptions!$C$88,Assumptions!$C$92+Drivers!R11/1000000*Assumptions!$C$91,0)</f>
        <v>421.812</v>
      </c>
      <c r="S42" s="25" t="n">
        <f aca="false">IF((17)&gt;=Assumptions!$C$88,Assumptions!$C$92+Drivers!S11/1000000*Assumptions!$C$91,0)</f>
        <v>426.6</v>
      </c>
      <c r="T42" s="25" t="n">
        <f aca="false">IF((18)&gt;=Assumptions!$C$88,Assumptions!$C$92+Drivers!T11/1000000*Assumptions!$C$91,0)</f>
        <v>431.92</v>
      </c>
      <c r="U42" s="25" t="n">
        <f aca="false">IF((19)&gt;=Assumptions!$C$88,Assumptions!$C$92+Drivers!U11/1000000*Assumptions!$C$91,0)</f>
        <v>433.516</v>
      </c>
      <c r="V42" s="25" t="n">
        <f aca="false">IF((20)&gt;=Assumptions!$C$88,Assumptions!$C$92+Drivers!V11/1000000*Assumptions!$C$91,0)</f>
        <v>435.112</v>
      </c>
      <c r="W42" s="25" t="n">
        <f aca="false">IF((21)&gt;=Assumptions!$C$88,Assumptions!$C$92+Drivers!W11/1000000*Assumptions!$C$91,0)</f>
        <v>436.708</v>
      </c>
      <c r="X42" s="25" t="n">
        <f aca="false">IF((22)&gt;=Assumptions!$C$88,Assumptions!$C$92+Drivers!X11/1000000*Assumptions!$C$91,0)</f>
        <v>438.304</v>
      </c>
      <c r="Y42" s="25" t="n">
        <f aca="false">IF((23)&gt;=Assumptions!$C$88,Assumptions!$C$92+Drivers!Y11/1000000*Assumptions!$C$91,0)</f>
        <v>439.9</v>
      </c>
      <c r="Z42" s="25" t="n">
        <f aca="false">IF((24)&gt;=Assumptions!$C$88,Assumptions!$C$92+Drivers!Z11/1000000*Assumptions!$C$91,0)</f>
        <v>441.496</v>
      </c>
      <c r="AA42" s="25" t="n">
        <f aca="false">IF((25)&gt;=Assumptions!$C$88,Assumptions!$C$92+Drivers!AA11/1000000*Assumptions!$C$91,0)</f>
        <v>443.624</v>
      </c>
      <c r="AB42" s="25" t="n">
        <f aca="false">IF((26)&gt;=Assumptions!$C$88,Assumptions!$C$92+Drivers!AB11/1000000*Assumptions!$C$91,0)</f>
        <v>445.752</v>
      </c>
      <c r="AC42" s="25" t="n">
        <f aca="false">IF((27)&gt;=Assumptions!$C$88,Assumptions!$C$92+Drivers!AC11/1000000*Assumptions!$C$91,0)</f>
        <v>447.88</v>
      </c>
      <c r="AD42" s="25" t="n">
        <f aca="false">IF((28)&gt;=Assumptions!$C$88,Assumptions!$C$92+Drivers!AD11/1000000*Assumptions!$C$91,0)</f>
        <v>449.476</v>
      </c>
      <c r="AE42" s="25" t="n">
        <f aca="false">IF((29)&gt;=Assumptions!$C$88,Assumptions!$C$92+Drivers!AE11/1000000*Assumptions!$C$91,0)</f>
        <v>451.2848</v>
      </c>
      <c r="AF42" s="25" t="n">
        <f aca="false">IF((30)&gt;=Assumptions!$C$88,Assumptions!$C$92+Drivers!AF11/1000000*Assumptions!$C$91,0)</f>
        <v>453.2</v>
      </c>
    </row>
    <row r="43" customFormat="false" ht="15" hidden="false" customHeight="true" outlineLevel="0" collapsed="false">
      <c r="B43" s="12" t="s">
        <v>387</v>
      </c>
      <c r="C43" s="25" t="n">
        <f aca="false">IF((1)&gt;=Assumptions!$C$88,Drivers!C19*Assumptions!$C$94*Assumptions!$C$93,0)</f>
        <v>0</v>
      </c>
      <c r="D43" s="25" t="n">
        <f aca="false">IF((2)&gt;=Assumptions!$C$88,Drivers!D19*Assumptions!$C$94*Assumptions!$C$93,0)</f>
        <v>0</v>
      </c>
      <c r="E43" s="25" t="n">
        <f aca="false">IF((3)&gt;=Assumptions!$C$88,Drivers!E19*Assumptions!$C$94*Assumptions!$C$93,0)</f>
        <v>0</v>
      </c>
      <c r="F43" s="25" t="n">
        <f aca="false">IF((4)&gt;=Assumptions!$C$88,Drivers!F19*Assumptions!$C$94*Assumptions!$C$93,0)</f>
        <v>0</v>
      </c>
      <c r="G43" s="25" t="n">
        <f aca="false">IF((5)&gt;=Assumptions!$C$88,Drivers!G19*Assumptions!$C$94*Assumptions!$C$93,0)</f>
        <v>0</v>
      </c>
      <c r="H43" s="25" t="n">
        <f aca="false">IF((6)&gt;=Assumptions!$C$88,Drivers!H19*Assumptions!$C$94*Assumptions!$C$93,0)</f>
        <v>0</v>
      </c>
      <c r="I43" s="25" t="n">
        <f aca="false">IF((7)&gt;=Assumptions!$C$88,Drivers!I19*Assumptions!$C$94*Assumptions!$C$93,0)</f>
        <v>0</v>
      </c>
      <c r="J43" s="25" t="n">
        <f aca="false">IF((8)&gt;=Assumptions!$C$88,Drivers!J19*Assumptions!$C$94*Assumptions!$C$93,0)</f>
        <v>0</v>
      </c>
      <c r="K43" s="25" t="n">
        <f aca="false">IF((9)&gt;=Assumptions!$C$88,Drivers!K19*Assumptions!$C$94*Assumptions!$C$93,0)</f>
        <v>0</v>
      </c>
      <c r="L43" s="25" t="n">
        <f aca="false">IF((10)&gt;=Assumptions!$C$88,Drivers!L19*Assumptions!$C$94*Assumptions!$C$93,0)</f>
        <v>0</v>
      </c>
      <c r="M43" s="25" t="n">
        <f aca="false">IF((11)&gt;=Assumptions!$C$88,Drivers!M19*Assumptions!$C$94*Assumptions!$C$93,0)</f>
        <v>0</v>
      </c>
      <c r="N43" s="25" t="n">
        <f aca="false">IF((12)&gt;=Assumptions!$C$88,Drivers!N19*Assumptions!$C$94*Assumptions!$C$93,0)</f>
        <v>0</v>
      </c>
      <c r="O43" s="25" t="n">
        <f aca="false">IF((13)&gt;=Assumptions!$C$88,Drivers!O19*Assumptions!$C$94*Assumptions!$C$93,0)</f>
        <v>20</v>
      </c>
      <c r="P43" s="25" t="n">
        <f aca="false">IF((14)&gt;=Assumptions!$C$88,Drivers!P19*Assumptions!$C$94*Assumptions!$C$93,0)</f>
        <v>20</v>
      </c>
      <c r="Q43" s="25" t="n">
        <f aca="false">IF((15)&gt;=Assumptions!$C$88,Drivers!Q19*Assumptions!$C$94*Assumptions!$C$93,0)</f>
        <v>40</v>
      </c>
      <c r="R43" s="25" t="n">
        <f aca="false">IF((16)&gt;=Assumptions!$C$88,Drivers!R19*Assumptions!$C$94*Assumptions!$C$93,0)</f>
        <v>40</v>
      </c>
      <c r="S43" s="25" t="n">
        <f aca="false">IF((17)&gt;=Assumptions!$C$88,Drivers!S19*Assumptions!$C$94*Assumptions!$C$93,0)</f>
        <v>40</v>
      </c>
      <c r="T43" s="25" t="n">
        <f aca="false">IF((18)&gt;=Assumptions!$C$88,Drivers!T19*Assumptions!$C$94*Assumptions!$C$93,0)</f>
        <v>60</v>
      </c>
      <c r="U43" s="25" t="n">
        <f aca="false">IF((19)&gt;=Assumptions!$C$88,Drivers!U19*Assumptions!$C$94*Assumptions!$C$93,0)</f>
        <v>60</v>
      </c>
      <c r="V43" s="25" t="n">
        <f aca="false">IF((20)&gt;=Assumptions!$C$88,Drivers!V19*Assumptions!$C$94*Assumptions!$C$93,0)</f>
        <v>60</v>
      </c>
      <c r="W43" s="25" t="n">
        <f aca="false">IF((21)&gt;=Assumptions!$C$88,Drivers!W19*Assumptions!$C$94*Assumptions!$C$93,0)</f>
        <v>80</v>
      </c>
      <c r="X43" s="25" t="n">
        <f aca="false">IF((22)&gt;=Assumptions!$C$88,Drivers!X19*Assumptions!$C$94*Assumptions!$C$93,0)</f>
        <v>80</v>
      </c>
      <c r="Y43" s="25" t="n">
        <f aca="false">IF((23)&gt;=Assumptions!$C$88,Drivers!Y19*Assumptions!$C$94*Assumptions!$C$93,0)</f>
        <v>80</v>
      </c>
      <c r="Z43" s="25" t="n">
        <f aca="false">IF((24)&gt;=Assumptions!$C$88,Drivers!Z19*Assumptions!$C$94*Assumptions!$C$93,0)</f>
        <v>100</v>
      </c>
      <c r="AA43" s="25" t="n">
        <f aca="false">IF((25)&gt;=Assumptions!$C$88,Drivers!AA19*Assumptions!$C$94*Assumptions!$C$93,0)</f>
        <v>100</v>
      </c>
      <c r="AB43" s="25" t="n">
        <f aca="false">IF((26)&gt;=Assumptions!$C$88,Drivers!AB19*Assumptions!$C$94*Assumptions!$C$93,0)</f>
        <v>100</v>
      </c>
      <c r="AC43" s="25" t="n">
        <f aca="false">IF((27)&gt;=Assumptions!$C$88,Drivers!AC19*Assumptions!$C$94*Assumptions!$C$93,0)</f>
        <v>120</v>
      </c>
      <c r="AD43" s="25" t="n">
        <f aca="false">IF((28)&gt;=Assumptions!$C$88,Drivers!AD19*Assumptions!$C$94*Assumptions!$C$93,0)</f>
        <v>120</v>
      </c>
      <c r="AE43" s="25" t="n">
        <f aca="false">IF((29)&gt;=Assumptions!$C$88,Drivers!AE19*Assumptions!$C$94*Assumptions!$C$93,0)</f>
        <v>120</v>
      </c>
      <c r="AF43" s="25" t="n">
        <f aca="false">IF((30)&gt;=Assumptions!$C$88,Drivers!AF19*Assumptions!$C$94*Assumptions!$C$93,0)</f>
        <v>140</v>
      </c>
    </row>
    <row r="44" customFormat="false" ht="15" hidden="false" customHeight="true" outlineLevel="0" collapsed="false">
      <c r="B44" s="12" t="s">
        <v>388</v>
      </c>
      <c r="C44" s="25" t="n">
        <f aca="false">IF((1)&gt;=Assumptions!$C$88,Drivers!C19*Assumptions!$C$95,0)</f>
        <v>0</v>
      </c>
      <c r="D44" s="25" t="n">
        <f aca="false">IF((2)&gt;=Assumptions!$C$88,Drivers!D19*Assumptions!$C$95,0)</f>
        <v>0</v>
      </c>
      <c r="E44" s="25" t="n">
        <f aca="false">IF((3)&gt;=Assumptions!$C$88,Drivers!E19*Assumptions!$C$95,0)</f>
        <v>0</v>
      </c>
      <c r="F44" s="25" t="n">
        <f aca="false">IF((4)&gt;=Assumptions!$C$88,Drivers!F19*Assumptions!$C$95,0)</f>
        <v>0</v>
      </c>
      <c r="G44" s="25" t="n">
        <f aca="false">IF((5)&gt;=Assumptions!$C$88,Drivers!G19*Assumptions!$C$95,0)</f>
        <v>0</v>
      </c>
      <c r="H44" s="25" t="n">
        <f aca="false">IF((6)&gt;=Assumptions!$C$88,Drivers!H19*Assumptions!$C$95,0)</f>
        <v>0</v>
      </c>
      <c r="I44" s="25" t="n">
        <f aca="false">IF((7)&gt;=Assumptions!$C$88,Drivers!I19*Assumptions!$C$95,0)</f>
        <v>0</v>
      </c>
      <c r="J44" s="25" t="n">
        <f aca="false">IF((8)&gt;=Assumptions!$C$88,Drivers!J19*Assumptions!$C$95,0)</f>
        <v>0</v>
      </c>
      <c r="K44" s="25" t="n">
        <f aca="false">IF((9)&gt;=Assumptions!$C$88,Drivers!K19*Assumptions!$C$95,0)</f>
        <v>0</v>
      </c>
      <c r="L44" s="25" t="n">
        <f aca="false">IF((10)&gt;=Assumptions!$C$88,Drivers!L19*Assumptions!$C$95,0)</f>
        <v>0</v>
      </c>
      <c r="M44" s="25" t="n">
        <f aca="false">IF((11)&gt;=Assumptions!$C$88,Drivers!M19*Assumptions!$C$95,0)</f>
        <v>0</v>
      </c>
      <c r="N44" s="25" t="n">
        <f aca="false">IF((12)&gt;=Assumptions!$C$88,Drivers!N19*Assumptions!$C$95,0)</f>
        <v>0</v>
      </c>
      <c r="O44" s="25" t="n">
        <f aca="false">IF((13)&gt;=Assumptions!$C$88,Drivers!O19*Assumptions!$C$95,0)</f>
        <v>350</v>
      </c>
      <c r="P44" s="25" t="n">
        <f aca="false">IF((14)&gt;=Assumptions!$C$88,Drivers!P19*Assumptions!$C$95,0)</f>
        <v>350</v>
      </c>
      <c r="Q44" s="25" t="n">
        <f aca="false">IF((15)&gt;=Assumptions!$C$88,Drivers!Q19*Assumptions!$C$95,0)</f>
        <v>700</v>
      </c>
      <c r="R44" s="25" t="n">
        <f aca="false">IF((16)&gt;=Assumptions!$C$88,Drivers!R19*Assumptions!$C$95,0)</f>
        <v>700</v>
      </c>
      <c r="S44" s="25" t="n">
        <f aca="false">IF((17)&gt;=Assumptions!$C$88,Drivers!S19*Assumptions!$C$95,0)</f>
        <v>700</v>
      </c>
      <c r="T44" s="25" t="n">
        <f aca="false">IF((18)&gt;=Assumptions!$C$88,Drivers!T19*Assumptions!$C$95,0)</f>
        <v>1050</v>
      </c>
      <c r="U44" s="25" t="n">
        <f aca="false">IF((19)&gt;=Assumptions!$C$88,Drivers!U19*Assumptions!$C$95,0)</f>
        <v>1050</v>
      </c>
      <c r="V44" s="25" t="n">
        <f aca="false">IF((20)&gt;=Assumptions!$C$88,Drivers!V19*Assumptions!$C$95,0)</f>
        <v>1050</v>
      </c>
      <c r="W44" s="25" t="n">
        <f aca="false">IF((21)&gt;=Assumptions!$C$88,Drivers!W19*Assumptions!$C$95,0)</f>
        <v>1400</v>
      </c>
      <c r="X44" s="25" t="n">
        <f aca="false">IF((22)&gt;=Assumptions!$C$88,Drivers!X19*Assumptions!$C$95,0)</f>
        <v>1400</v>
      </c>
      <c r="Y44" s="25" t="n">
        <f aca="false">IF((23)&gt;=Assumptions!$C$88,Drivers!Y19*Assumptions!$C$95,0)</f>
        <v>1400</v>
      </c>
      <c r="Z44" s="25" t="n">
        <f aca="false">IF((24)&gt;=Assumptions!$C$88,Drivers!Z19*Assumptions!$C$95,0)</f>
        <v>1750</v>
      </c>
      <c r="AA44" s="25" t="n">
        <f aca="false">IF((25)&gt;=Assumptions!$C$88,Drivers!AA19*Assumptions!$C$95,0)</f>
        <v>1750</v>
      </c>
      <c r="AB44" s="25" t="n">
        <f aca="false">IF((26)&gt;=Assumptions!$C$88,Drivers!AB19*Assumptions!$C$95,0)</f>
        <v>1750</v>
      </c>
      <c r="AC44" s="25" t="n">
        <f aca="false">IF((27)&gt;=Assumptions!$C$88,Drivers!AC19*Assumptions!$C$95,0)</f>
        <v>2100</v>
      </c>
      <c r="AD44" s="25" t="n">
        <f aca="false">IF((28)&gt;=Assumptions!$C$88,Drivers!AD19*Assumptions!$C$95,0)</f>
        <v>2100</v>
      </c>
      <c r="AE44" s="25" t="n">
        <f aca="false">IF((29)&gt;=Assumptions!$C$88,Drivers!AE19*Assumptions!$C$95,0)</f>
        <v>2100</v>
      </c>
      <c r="AF44" s="25" t="n">
        <f aca="false">IF((30)&gt;=Assumptions!$C$88,Drivers!AF19*Assumptions!$C$95,0)</f>
        <v>2450</v>
      </c>
    </row>
    <row r="45" customFormat="false" ht="15" hidden="false" customHeight="true" outlineLevel="0" collapsed="false">
      <c r="B45" s="12" t="s">
        <v>389</v>
      </c>
      <c r="C45" s="25" t="n">
        <f aca="false">IF((1)&gt;=Assumptions!$C$88,Drivers!C20*Assumptions!$C$96,0)</f>
        <v>0</v>
      </c>
      <c r="D45" s="25" t="n">
        <f aca="false">IF((2)&gt;=Assumptions!$C$88,Drivers!D20*Assumptions!$C$96,0)</f>
        <v>0</v>
      </c>
      <c r="E45" s="25" t="n">
        <f aca="false">IF((3)&gt;=Assumptions!$C$88,Drivers!E20*Assumptions!$C$96,0)</f>
        <v>0</v>
      </c>
      <c r="F45" s="25" t="n">
        <f aca="false">IF((4)&gt;=Assumptions!$C$88,Drivers!F20*Assumptions!$C$96,0)</f>
        <v>0</v>
      </c>
      <c r="G45" s="25" t="n">
        <f aca="false">IF((5)&gt;=Assumptions!$C$88,Drivers!G20*Assumptions!$C$96,0)</f>
        <v>0</v>
      </c>
      <c r="H45" s="25" t="n">
        <f aca="false">IF((6)&gt;=Assumptions!$C$88,Drivers!H20*Assumptions!$C$96,0)</f>
        <v>0</v>
      </c>
      <c r="I45" s="25" t="n">
        <f aca="false">IF((7)&gt;=Assumptions!$C$88,Drivers!I20*Assumptions!$C$96,0)</f>
        <v>0</v>
      </c>
      <c r="J45" s="25" t="n">
        <f aca="false">IF((8)&gt;=Assumptions!$C$88,Drivers!J20*Assumptions!$C$96,0)</f>
        <v>0</v>
      </c>
      <c r="K45" s="25" t="n">
        <f aca="false">IF((9)&gt;=Assumptions!$C$88,Drivers!K20*Assumptions!$C$96,0)</f>
        <v>0</v>
      </c>
      <c r="L45" s="25" t="n">
        <f aca="false">IF((10)&gt;=Assumptions!$C$88,Drivers!L20*Assumptions!$C$96,0)</f>
        <v>0</v>
      </c>
      <c r="M45" s="25" t="n">
        <f aca="false">IF((11)&gt;=Assumptions!$C$88,Drivers!M20*Assumptions!$C$96,0)</f>
        <v>0</v>
      </c>
      <c r="N45" s="25" t="n">
        <f aca="false">IF((12)&gt;=Assumptions!$C$88,Drivers!N20*Assumptions!$C$96,0)</f>
        <v>0</v>
      </c>
      <c r="O45" s="25" t="n">
        <f aca="false">IF((13)&gt;=Assumptions!$C$88,Drivers!O20*Assumptions!$C$96,0)</f>
        <v>182.4</v>
      </c>
      <c r="P45" s="25" t="n">
        <f aca="false">IF((14)&gt;=Assumptions!$C$88,Drivers!P20*Assumptions!$C$96,0)</f>
        <v>182.4</v>
      </c>
      <c r="Q45" s="25" t="n">
        <f aca="false">IF((15)&gt;=Assumptions!$C$88,Drivers!Q20*Assumptions!$C$96,0)</f>
        <v>364.8</v>
      </c>
      <c r="R45" s="25" t="n">
        <f aca="false">IF((16)&gt;=Assumptions!$C$88,Drivers!R20*Assumptions!$C$96,0)</f>
        <v>364.8</v>
      </c>
      <c r="S45" s="25" t="n">
        <f aca="false">IF((17)&gt;=Assumptions!$C$88,Drivers!S20*Assumptions!$C$96,0)</f>
        <v>364.8</v>
      </c>
      <c r="T45" s="25" t="n">
        <f aca="false">IF((18)&gt;=Assumptions!$C$88,Drivers!T20*Assumptions!$C$96,0)</f>
        <v>547.2</v>
      </c>
      <c r="U45" s="25" t="n">
        <f aca="false">IF((19)&gt;=Assumptions!$C$88,Drivers!U20*Assumptions!$C$96,0)</f>
        <v>547.2</v>
      </c>
      <c r="V45" s="25" t="n">
        <f aca="false">IF((20)&gt;=Assumptions!$C$88,Drivers!V20*Assumptions!$C$96,0)</f>
        <v>547.2</v>
      </c>
      <c r="W45" s="25" t="n">
        <f aca="false">IF((21)&gt;=Assumptions!$C$88,Drivers!W20*Assumptions!$C$96,0)</f>
        <v>729.6</v>
      </c>
      <c r="X45" s="25" t="n">
        <f aca="false">IF((22)&gt;=Assumptions!$C$88,Drivers!X20*Assumptions!$C$96,0)</f>
        <v>729.6</v>
      </c>
      <c r="Y45" s="25" t="n">
        <f aca="false">IF((23)&gt;=Assumptions!$C$88,Drivers!Y20*Assumptions!$C$96,0)</f>
        <v>729.6</v>
      </c>
      <c r="Z45" s="25" t="n">
        <f aca="false">IF((24)&gt;=Assumptions!$C$88,Drivers!Z20*Assumptions!$C$96,0)</f>
        <v>912</v>
      </c>
      <c r="AA45" s="25" t="n">
        <f aca="false">IF((25)&gt;=Assumptions!$C$88,Drivers!AA20*Assumptions!$C$96,0)</f>
        <v>912</v>
      </c>
      <c r="AB45" s="25" t="n">
        <f aca="false">IF((26)&gt;=Assumptions!$C$88,Drivers!AB20*Assumptions!$C$96,0)</f>
        <v>912</v>
      </c>
      <c r="AC45" s="25" t="n">
        <f aca="false">IF((27)&gt;=Assumptions!$C$88,Drivers!AC20*Assumptions!$C$96,0)</f>
        <v>1094.4</v>
      </c>
      <c r="AD45" s="25" t="n">
        <f aca="false">IF((28)&gt;=Assumptions!$C$88,Drivers!AD20*Assumptions!$C$96,0)</f>
        <v>1094.4</v>
      </c>
      <c r="AE45" s="25" t="n">
        <f aca="false">IF((29)&gt;=Assumptions!$C$88,Drivers!AE20*Assumptions!$C$96,0)</f>
        <v>1094.4</v>
      </c>
      <c r="AF45" s="25" t="n">
        <f aca="false">IF((30)&gt;=Assumptions!$C$88,Drivers!AF20*Assumptions!$C$96,0)</f>
        <v>1276.8</v>
      </c>
    </row>
    <row r="46" customFormat="false" ht="15" hidden="false" customHeight="true" outlineLevel="0" collapsed="false">
      <c r="B46" s="12" t="s">
        <v>390</v>
      </c>
      <c r="C46" s="25" t="n">
        <f aca="false">IF((1)&gt;=Assumptions!$C$88,Assumptions!$C$98*Assumptions!$C$64,0)</f>
        <v>0</v>
      </c>
      <c r="D46" s="25" t="n">
        <f aca="false">IF((2)&gt;=Assumptions!$C$88,Assumptions!$C$98*Assumptions!$C$64,0)</f>
        <v>0</v>
      </c>
      <c r="E46" s="25" t="n">
        <f aca="false">IF((3)&gt;=Assumptions!$C$88,Assumptions!$C$98*Assumptions!$C$64,0)</f>
        <v>0</v>
      </c>
      <c r="F46" s="25" t="n">
        <f aca="false">IF((4)&gt;=Assumptions!$C$88,Assumptions!$C$98*Assumptions!$C$64,0)</f>
        <v>0</v>
      </c>
      <c r="G46" s="25" t="n">
        <f aca="false">IF((5)&gt;=Assumptions!$C$88,Assumptions!$C$98*Assumptions!$C$64,0)</f>
        <v>0</v>
      </c>
      <c r="H46" s="25" t="n">
        <f aca="false">IF((6)&gt;=Assumptions!$C$88,Assumptions!$C$98*Assumptions!$C$64,0)</f>
        <v>0</v>
      </c>
      <c r="I46" s="25" t="n">
        <f aca="false">IF((7)&gt;=Assumptions!$C$88,Assumptions!$C$98*Assumptions!$C$64,0)</f>
        <v>0</v>
      </c>
      <c r="J46" s="25" t="n">
        <f aca="false">IF((8)&gt;=Assumptions!$C$88,Assumptions!$C$98*Assumptions!$C$64,0)</f>
        <v>0</v>
      </c>
      <c r="K46" s="25" t="n">
        <f aca="false">IF((9)&gt;=Assumptions!$C$88,Assumptions!$C$98*Assumptions!$C$64,0)</f>
        <v>0</v>
      </c>
      <c r="L46" s="25" t="n">
        <f aca="false">IF((10)&gt;=Assumptions!$C$88,Assumptions!$C$98*Assumptions!$C$64,0)</f>
        <v>0</v>
      </c>
      <c r="M46" s="25" t="n">
        <f aca="false">IF((11)&gt;=Assumptions!$C$88,Assumptions!$C$98*Assumptions!$C$64,0)</f>
        <v>0</v>
      </c>
      <c r="N46" s="25" t="n">
        <f aca="false">IF((12)&gt;=Assumptions!$C$88,Assumptions!$C$98*Assumptions!$C$64,0)</f>
        <v>0</v>
      </c>
      <c r="O46" s="25" t="n">
        <f aca="false">IF((13)&gt;=Assumptions!$C$88,Assumptions!$C$98*Assumptions!$C$64,0)</f>
        <v>30</v>
      </c>
      <c r="P46" s="25" t="n">
        <f aca="false">IF((14)&gt;=Assumptions!$C$88,Assumptions!$C$98*Assumptions!$C$64,0)</f>
        <v>30</v>
      </c>
      <c r="Q46" s="25" t="n">
        <f aca="false">IF((15)&gt;=Assumptions!$C$88,Assumptions!$C$98*Assumptions!$C$64,0)</f>
        <v>30</v>
      </c>
      <c r="R46" s="25" t="n">
        <f aca="false">IF((16)&gt;=Assumptions!$C$88,Assumptions!$C$98*Assumptions!$C$64,0)</f>
        <v>30</v>
      </c>
      <c r="S46" s="25" t="n">
        <f aca="false">IF((17)&gt;=Assumptions!$C$88,Assumptions!$C$98*Assumptions!$C$64,0)</f>
        <v>30</v>
      </c>
      <c r="T46" s="25" t="n">
        <f aca="false">IF((18)&gt;=Assumptions!$C$88,Assumptions!$C$98*Assumptions!$C$64,0)</f>
        <v>30</v>
      </c>
      <c r="U46" s="25" t="n">
        <f aca="false">IF((19)&gt;=Assumptions!$C$88,Assumptions!$C$98*Assumptions!$C$64,0)</f>
        <v>30</v>
      </c>
      <c r="V46" s="25" t="n">
        <f aca="false">IF((20)&gt;=Assumptions!$C$88,Assumptions!$C$98*Assumptions!$C$64,0)</f>
        <v>30</v>
      </c>
      <c r="W46" s="25" t="n">
        <f aca="false">IF((21)&gt;=Assumptions!$C$88,Assumptions!$C$98*Assumptions!$C$64,0)</f>
        <v>30</v>
      </c>
      <c r="X46" s="25" t="n">
        <f aca="false">IF((22)&gt;=Assumptions!$C$88,Assumptions!$C$98*Assumptions!$C$64,0)</f>
        <v>30</v>
      </c>
      <c r="Y46" s="25" t="n">
        <f aca="false">IF((23)&gt;=Assumptions!$C$88,Assumptions!$C$98*Assumptions!$C$64,0)</f>
        <v>30</v>
      </c>
      <c r="Z46" s="25" t="n">
        <f aca="false">IF((24)&gt;=Assumptions!$C$88,Assumptions!$C$98*Assumptions!$C$64,0)</f>
        <v>30</v>
      </c>
      <c r="AA46" s="25" t="n">
        <f aca="false">IF((25)&gt;=Assumptions!$C$88,Assumptions!$C$98*Assumptions!$C$64,0)</f>
        <v>30</v>
      </c>
      <c r="AB46" s="25" t="n">
        <f aca="false">IF((26)&gt;=Assumptions!$C$88,Assumptions!$C$98*Assumptions!$C$64,0)</f>
        <v>30</v>
      </c>
      <c r="AC46" s="25" t="n">
        <f aca="false">IF((27)&gt;=Assumptions!$C$88,Assumptions!$C$98*Assumptions!$C$64,0)</f>
        <v>30</v>
      </c>
      <c r="AD46" s="25" t="n">
        <f aca="false">IF((28)&gt;=Assumptions!$C$88,Assumptions!$C$98*Assumptions!$C$64,0)</f>
        <v>30</v>
      </c>
      <c r="AE46" s="25" t="n">
        <f aca="false">IF((29)&gt;=Assumptions!$C$88,Assumptions!$C$98*Assumptions!$C$64,0)</f>
        <v>30</v>
      </c>
      <c r="AF46" s="25" t="n">
        <f aca="false">IF((30)&gt;=Assumptions!$C$88,Assumptions!$C$98*Assumptions!$C$64,0)</f>
        <v>30</v>
      </c>
    </row>
    <row r="47" customFormat="false" ht="15" hidden="false" customHeight="true" outlineLevel="0" collapsed="false">
      <c r="B47" s="42" t="s">
        <v>391</v>
      </c>
      <c r="C47" s="43" t="n">
        <f aca="false">C41+C42+C43+C44+C45+C46</f>
        <v>0</v>
      </c>
      <c r="D47" s="43" t="n">
        <f aca="false">D41+D42+D43+D44+D45+D46</f>
        <v>0</v>
      </c>
      <c r="E47" s="43" t="n">
        <f aca="false">E41+E42+E43+E44+E45+E46</f>
        <v>0</v>
      </c>
      <c r="F47" s="43" t="n">
        <f aca="false">F41+F42+F43+F44+F45+F46</f>
        <v>0</v>
      </c>
      <c r="G47" s="43" t="n">
        <f aca="false">G41+G42+G43+G44+G45+G46</f>
        <v>0</v>
      </c>
      <c r="H47" s="43" t="n">
        <f aca="false">H41+H42+H43+H44+H45+H46</f>
        <v>0</v>
      </c>
      <c r="I47" s="43" t="n">
        <f aca="false">I41+I42+I43+I44+I45+I46</f>
        <v>0</v>
      </c>
      <c r="J47" s="43" t="n">
        <f aca="false">J41+J42+J43+J44+J45+J46</f>
        <v>0</v>
      </c>
      <c r="K47" s="43" t="n">
        <f aca="false">K41+K42+K43+K44+K45+K46</f>
        <v>0</v>
      </c>
      <c r="L47" s="43" t="n">
        <f aca="false">L41+L42+L43+L44+L45+L46</f>
        <v>0</v>
      </c>
      <c r="M47" s="43" t="n">
        <f aca="false">M41+M42+M43+M44+M45+M46</f>
        <v>0</v>
      </c>
      <c r="N47" s="43" t="n">
        <f aca="false">N41+N42+N43+N44+N45+N46</f>
        <v>0</v>
      </c>
      <c r="O47" s="43" t="n">
        <f aca="false">O41+O42+O43+O44+O45+O46</f>
        <v>1023.968</v>
      </c>
      <c r="P47" s="43" t="n">
        <f aca="false">P41+P42+P43+P44+P45+P46</f>
        <v>1032.628</v>
      </c>
      <c r="Q47" s="43" t="n">
        <f aca="false">Q41+Q42+Q43+Q44+Q45+Q46</f>
        <v>1594.3808</v>
      </c>
      <c r="R47" s="43" t="n">
        <f aca="false">R41+R42+R43+R44+R45+R46</f>
        <v>1605.812</v>
      </c>
      <c r="S47" s="43" t="n">
        <f aca="false">S41+S42+S43+S44+S45+S46</f>
        <v>1621.4</v>
      </c>
      <c r="T47" s="43" t="n">
        <f aca="false">T41+T42+T43+T44+T45+T46</f>
        <v>2191.12</v>
      </c>
      <c r="U47" s="43" t="n">
        <f aca="false">U41+U42+U43+U44+U45+U46</f>
        <v>2196.316</v>
      </c>
      <c r="V47" s="43" t="n">
        <f aca="false">V41+V42+V43+V44+V45+V46</f>
        <v>2201.512</v>
      </c>
      <c r="W47" s="43" t="n">
        <f aca="false">W41+W42+W43+W44+W45+W46</f>
        <v>2759.108</v>
      </c>
      <c r="X47" s="43" t="n">
        <f aca="false">X41+X42+X43+X44+X45+X46</f>
        <v>2764.304</v>
      </c>
      <c r="Y47" s="43" t="n">
        <f aca="false">Y41+Y42+Y43+Y44+Y45+Y46</f>
        <v>2769.5</v>
      </c>
      <c r="Z47" s="43" t="n">
        <f aca="false">Z41+Z42+Z43+Z44+Z45+Z46</f>
        <v>3327.096</v>
      </c>
      <c r="AA47" s="43" t="n">
        <f aca="false">AA41+AA42+AA43+AA44+AA45+AA46</f>
        <v>3334.024</v>
      </c>
      <c r="AB47" s="43" t="n">
        <f aca="false">AB41+AB42+AB43+AB44+AB45+AB46</f>
        <v>3340.952</v>
      </c>
      <c r="AC47" s="43" t="n">
        <f aca="false">AC41+AC42+AC43+AC44+AC45+AC46</f>
        <v>3900.28</v>
      </c>
      <c r="AD47" s="43" t="n">
        <f aca="false">AD41+AD42+AD43+AD44+AD45+AD46</f>
        <v>3905.476</v>
      </c>
      <c r="AE47" s="43" t="n">
        <f aca="false">AE41+AE42+AE43+AE44+AE45+AE46</f>
        <v>3911.3648</v>
      </c>
      <c r="AF47" s="43" t="n">
        <f aca="false">AF41+AF42+AF43+AF44+AF45+AF46</f>
        <v>4470</v>
      </c>
    </row>
    <row r="49" customFormat="false" ht="15" hidden="false" customHeight="true" outlineLevel="0" collapsed="false">
      <c r="B49" s="14" t="s">
        <v>392</v>
      </c>
      <c r="C49" s="15" t="n">
        <f aca="false">C11+C15+C21+C30+C34+C39+C47</f>
        <v>9107.34870033936</v>
      </c>
      <c r="D49" s="15" t="n">
        <f aca="false">D11+D15+D21+D30+D34+D39+D47</f>
        <v>9407.84267360291</v>
      </c>
      <c r="E49" s="15" t="n">
        <f aca="false">E11+E15+E21+E30+E34+E39+E47</f>
        <v>9828.72174433533</v>
      </c>
      <c r="F49" s="15" t="n">
        <f aca="false">F11+F15+F21+F30+F34+F39+F47</f>
        <v>10430.1508865411</v>
      </c>
      <c r="G49" s="15" t="n">
        <f aca="false">G11+G15+G21+G30+G34+G39+G47</f>
        <v>11122.2135359726</v>
      </c>
      <c r="H49" s="15" t="n">
        <f aca="false">H11+H15+H21+H30+H34+H39+H47</f>
        <v>11874.965079277</v>
      </c>
      <c r="I49" s="15" t="n">
        <f aca="false">I11+I15+I21+I30+I34+I39+I47</f>
        <v>13475.33942939</v>
      </c>
      <c r="J49" s="15" t="n">
        <f aca="false">J11+J15+J21+J30+J34+J39+J47</f>
        <v>16076.5126422714</v>
      </c>
      <c r="K49" s="15" t="n">
        <f aca="false">K11+K15+K21+K30+K34+K39+K47</f>
        <v>19613.561959819</v>
      </c>
      <c r="L49" s="15" t="n">
        <f aca="false">L11+L15+L21+L30+L34+L39+L47</f>
        <v>24863.6313747788</v>
      </c>
      <c r="M49" s="15" t="n">
        <f aca="false">M11+M15+M21+M30+M34+M39+M47</f>
        <v>32043.9529990707</v>
      </c>
      <c r="N49" s="15" t="n">
        <f aca="false">N11+N15+N21+N30+N34+N39+N47</f>
        <v>41366.4213164902</v>
      </c>
      <c r="O49" s="15" t="n">
        <f aca="false">O11+O15+O21+O30+O34+O39+O47</f>
        <v>49427.9263059914</v>
      </c>
      <c r="P49" s="15" t="n">
        <f aca="false">P11+P15+P21+P30+P34+P39+P47</f>
        <v>58054.2606487297</v>
      </c>
      <c r="Q49" s="15" t="n">
        <f aca="false">Q11+Q15+Q21+Q30+Q34+Q39+Q47</f>
        <v>67794.4774014629</v>
      </c>
      <c r="R49" s="15" t="n">
        <f aca="false">R11+R15+R21+R30+R34+R39+R47</f>
        <v>79082.1303964119</v>
      </c>
      <c r="S49" s="15" t="n">
        <f aca="false">S11+S15+S21+S30+S34+S39+S47</f>
        <v>94180.354568644</v>
      </c>
      <c r="T49" s="15" t="n">
        <f aca="false">T11+T15+T21+T30+T34+T39+T47</f>
        <v>111470.041076572</v>
      </c>
      <c r="U49" s="15" t="n">
        <f aca="false">U11+U15+U21+U30+U34+U39+U47</f>
        <v>116640.288954116</v>
      </c>
      <c r="V49" s="15" t="n">
        <f aca="false">V11+V15+V21+V30+V34+V39+V47</f>
        <v>121707.533365337</v>
      </c>
      <c r="W49" s="15" t="n">
        <f aca="false">W11+W15+W21+W30+W34+W39+W47</f>
        <v>127331.396710236</v>
      </c>
      <c r="X49" s="15" t="n">
        <f aca="false">X11+X15+X21+X30+X34+X39+X47</f>
        <v>132407.078988813</v>
      </c>
      <c r="Y49" s="15" t="n">
        <f aca="false">Y11+Y15+Y21+Y30+Y34+Y39+Y47</f>
        <v>137594.202601067</v>
      </c>
      <c r="Z49" s="15" t="n">
        <f aca="false">Z11+Z15+Z21+Z30+Z34+Z39+Z47</f>
        <v>143230.722746999</v>
      </c>
      <c r="AA49" s="15" t="n">
        <f aca="false">AA11+AA15+AA21+AA30+AA34+AA39+AA47</f>
        <v>150791.920341424</v>
      </c>
      <c r="AB49" s="15" t="n">
        <f aca="false">AB11+AB15+AB21+AB30+AB34+AB39+AB47</f>
        <v>157536.018553932</v>
      </c>
      <c r="AC49" s="15" t="n">
        <f aca="false">AC11+AC15+AC21+AC30+AC34+AC39+AC47</f>
        <v>164948.351554885</v>
      </c>
      <c r="AD49" s="15" t="n">
        <f aca="false">AD11+AD15+AD21+AD30+AD34+AD39+AD47</f>
        <v>170075.081181937</v>
      </c>
      <c r="AE49" s="15" t="n">
        <f aca="false">AE11+AE15+AE21+AE30+AE34+AE39+AE47</f>
        <v>175967.768813261</v>
      </c>
      <c r="AF49" s="15" t="n">
        <f aca="false">AF11+AF15+AF21+AF30+AF34+AF39+AF47</f>
        <v>182633.487207233</v>
      </c>
    </row>
    <row r="50" customFormat="false" ht="15" hidden="false" customHeight="true" outlineLevel="0" collapsed="false">
      <c r="B50" s="22" t="s">
        <v>393</v>
      </c>
      <c r="C50" s="44" t="n">
        <f aca="false">C49</f>
        <v>9107.34870033936</v>
      </c>
      <c r="D50" s="44" t="n">
        <f aca="false">C50+D49</f>
        <v>18515.1913739423</v>
      </c>
      <c r="E50" s="44" t="n">
        <f aca="false">D50+E49</f>
        <v>28343.9131182776</v>
      </c>
      <c r="F50" s="44" t="n">
        <f aca="false">E50+F49</f>
        <v>38774.0640048187</v>
      </c>
      <c r="G50" s="44" t="n">
        <f aca="false">F50+G49</f>
        <v>49896.2775407913</v>
      </c>
      <c r="H50" s="44" t="n">
        <f aca="false">G50+H49</f>
        <v>61771.2426200684</v>
      </c>
      <c r="I50" s="44" t="n">
        <f aca="false">H50+I49</f>
        <v>75246.5820494583</v>
      </c>
      <c r="J50" s="44" t="n">
        <f aca="false">I50+J49</f>
        <v>91323.0946917297</v>
      </c>
      <c r="K50" s="44" t="n">
        <f aca="false">J50+K49</f>
        <v>110936.656651549</v>
      </c>
      <c r="L50" s="44" t="n">
        <f aca="false">K50+L49</f>
        <v>135800.288026328</v>
      </c>
      <c r="M50" s="44" t="n">
        <f aca="false">L50+M49</f>
        <v>167844.241025398</v>
      </c>
      <c r="N50" s="44" t="n">
        <f aca="false">M50+N49</f>
        <v>209210.662341888</v>
      </c>
      <c r="O50" s="44" t="n">
        <f aca="false">N50+O49</f>
        <v>258638.58864788</v>
      </c>
      <c r="P50" s="44" t="n">
        <f aca="false">O50+P49</f>
        <v>316692.849296609</v>
      </c>
      <c r="Q50" s="44" t="n">
        <f aca="false">P50+Q49</f>
        <v>384487.326698072</v>
      </c>
      <c r="R50" s="44" t="n">
        <f aca="false">Q50+R49</f>
        <v>463569.457094484</v>
      </c>
      <c r="S50" s="44" t="n">
        <f aca="false">R50+S49</f>
        <v>557749.811663128</v>
      </c>
      <c r="T50" s="44" t="n">
        <f aca="false">S50+T49</f>
        <v>669219.852739701</v>
      </c>
      <c r="U50" s="44" t="n">
        <f aca="false">T50+U49</f>
        <v>785860.141693817</v>
      </c>
      <c r="V50" s="44" t="n">
        <f aca="false">U50+V49</f>
        <v>907567.675059154</v>
      </c>
      <c r="W50" s="44" t="n">
        <f aca="false">V50+W49</f>
        <v>1034899.07176939</v>
      </c>
      <c r="X50" s="44" t="n">
        <f aca="false">W50+X49</f>
        <v>1167306.1507582</v>
      </c>
      <c r="Y50" s="44" t="n">
        <f aca="false">X50+Y49</f>
        <v>1304900.35335927</v>
      </c>
      <c r="Z50" s="44" t="n">
        <f aca="false">Y50+Z49</f>
        <v>1448131.07610627</v>
      </c>
      <c r="AA50" s="44" t="n">
        <f aca="false">Z50+AA49</f>
        <v>1598922.99644769</v>
      </c>
      <c r="AB50" s="44" t="n">
        <f aca="false">AA50+AB49</f>
        <v>1756459.01500163</v>
      </c>
      <c r="AC50" s="44" t="n">
        <f aca="false">AB50+AC49</f>
        <v>1921407.36655651</v>
      </c>
      <c r="AD50" s="44" t="n">
        <f aca="false">AC50+AD49</f>
        <v>2091482.44773845</v>
      </c>
      <c r="AE50" s="44" t="n">
        <f aca="false">AD50+AE49</f>
        <v>2267450.21655171</v>
      </c>
      <c r="AF50" s="44" t="n">
        <f aca="false">AE50+AF49</f>
        <v>2450083.70375894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2026-06-22T23:41:59Z</dcterms:created>
  <dc:creator>openpyxl</dc:creator>
  <dc:description/>
  <dc:language>en-US</dc:language>
  <cp:lastModifiedBy/>
  <dcterms:modified xsi:type="dcterms:W3CDTF">2026-06-23T02:28:49Z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